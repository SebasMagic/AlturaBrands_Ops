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9EE0CC54-F1B6-416C-BC58-73D959914D0C}" xr6:coauthVersionLast="47" xr6:coauthVersionMax="47" xr10:uidLastSave="{00000000-0000-0000-0000-000000000000}"/>
  <bookViews>
    <workbookView xWindow="-120" yWindow="-120" windowWidth="29040" windowHeight="15720" xr2:uid="{4A5EE694-8029-48EA-B18A-17FF91AD5755}"/>
  </bookViews>
  <sheets>
    <sheet name="Pedido ECOMM - MKT Place" sheetId="1" r:id="rId1"/>
  </sheets>
  <externalReferences>
    <externalReference r:id="rId2"/>
  </externalReferences>
  <definedNames>
    <definedName name="_xlnm._FilterDatabase" localSheetId="0" hidden="1">'Pedido ECOMM - MKT Place'!$B$1:$AI$82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2" i="1" l="1"/>
  <c r="AJ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J81" i="1"/>
  <c r="AJ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J80" i="1"/>
  <c r="AJ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J79" i="1"/>
  <c r="AJ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AF78" i="1" s="1"/>
  <c r="J78" i="1"/>
  <c r="AJ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J77" i="1"/>
  <c r="AJ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J76" i="1"/>
  <c r="AJ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J75" i="1"/>
  <c r="AJ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J74" i="1"/>
  <c r="AJ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J73" i="1"/>
  <c r="AJ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J72" i="1"/>
  <c r="AJ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J71" i="1"/>
  <c r="AJ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J70" i="1"/>
  <c r="AJ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J69" i="1"/>
  <c r="AJ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J68" i="1"/>
  <c r="AJ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J67" i="1"/>
  <c r="AJ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J66" i="1"/>
  <c r="AJ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J65" i="1"/>
  <c r="AJ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J64" i="1"/>
  <c r="AJ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J63" i="1"/>
  <c r="AJ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J62" i="1"/>
  <c r="AJ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J61" i="1"/>
  <c r="AJ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J60" i="1"/>
  <c r="AJ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J59" i="1"/>
  <c r="AJ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J58" i="1"/>
  <c r="AJ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J57" i="1"/>
  <c r="AJ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J56" i="1"/>
  <c r="AJ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J55" i="1"/>
  <c r="AJ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J54" i="1"/>
  <c r="AJ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J53" i="1"/>
  <c r="AJ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J52" i="1"/>
  <c r="AJ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J51" i="1"/>
  <c r="AJ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J50" i="1"/>
  <c r="AJ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J49" i="1"/>
  <c r="AJ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J48" i="1"/>
  <c r="AJ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J47" i="1"/>
  <c r="AJ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J46" i="1"/>
  <c r="AJ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J45" i="1"/>
  <c r="AJ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J44" i="1"/>
  <c r="AJ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J43" i="1"/>
  <c r="AJ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J42" i="1"/>
  <c r="AJ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J41" i="1"/>
  <c r="AJ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J40" i="1"/>
  <c r="AJ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J39" i="1"/>
  <c r="AJ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J38" i="1"/>
  <c r="AJ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J37" i="1"/>
  <c r="AJ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J36" i="1"/>
  <c r="AJ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J35" i="1"/>
  <c r="AJ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J34" i="1"/>
  <c r="AJ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J33" i="1"/>
  <c r="AJ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J32" i="1"/>
  <c r="AJ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J31" i="1"/>
  <c r="AJ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J30" i="1"/>
  <c r="AJ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J29" i="1"/>
  <c r="AJ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J28" i="1"/>
  <c r="AJ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J27" i="1"/>
  <c r="AJ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J26" i="1"/>
  <c r="AJ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J25" i="1"/>
  <c r="AJ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J24" i="1"/>
  <c r="AJ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J23" i="1"/>
  <c r="AJ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J22" i="1"/>
  <c r="AJ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J21" i="1"/>
  <c r="AJ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J20" i="1"/>
  <c r="AJ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J19" i="1"/>
  <c r="AJ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J18" i="1"/>
  <c r="AJ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J17" i="1"/>
  <c r="AJ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J16" i="1"/>
  <c r="AJ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J15" i="1"/>
  <c r="AJ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J14" i="1"/>
  <c r="AJ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J13" i="1"/>
  <c r="AJ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J12" i="1"/>
  <c r="AJ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J11" i="1"/>
  <c r="AJ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J10" i="1"/>
  <c r="AJ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J9" i="1"/>
  <c r="AJ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J8" i="1"/>
  <c r="AJ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J7" i="1"/>
  <c r="AJ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J6" i="1"/>
  <c r="AJ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J5" i="1"/>
  <c r="AJ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J4" i="1"/>
  <c r="AJ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J3" i="1"/>
  <c r="AJ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J2" i="1"/>
  <c r="AF29" i="1" l="1"/>
  <c r="AF18" i="1"/>
  <c r="AK18" i="1" s="1"/>
  <c r="AF26" i="1"/>
  <c r="AK26" i="1" s="1"/>
  <c r="AF34" i="1"/>
  <c r="AG34" i="1" s="1"/>
  <c r="AE82" i="1"/>
  <c r="AF42" i="1"/>
  <c r="AF50" i="1"/>
  <c r="AG50" i="1" s="1"/>
  <c r="AF58" i="1"/>
  <c r="AH58" i="1" s="1"/>
  <c r="AF66" i="1"/>
  <c r="AH66" i="1" s="1"/>
  <c r="AF72" i="1"/>
  <c r="AG72" i="1" s="1"/>
  <c r="AF74" i="1"/>
  <c r="AG74" i="1" s="1"/>
  <c r="O82" i="1"/>
  <c r="AF80" i="1"/>
  <c r="AI80" i="1" s="1"/>
  <c r="AF2" i="1"/>
  <c r="AK2" i="1" s="1"/>
  <c r="S82" i="1"/>
  <c r="AF30" i="1"/>
  <c r="AI30" i="1" s="1"/>
  <c r="AF38" i="1"/>
  <c r="AF57" i="1"/>
  <c r="AH57" i="1" s="1"/>
  <c r="W82" i="1"/>
  <c r="AF81" i="1"/>
  <c r="AG81" i="1" s="1"/>
  <c r="AF10" i="1"/>
  <c r="AF11" i="1"/>
  <c r="AF6" i="1"/>
  <c r="AH6" i="1" s="1"/>
  <c r="AF46" i="1"/>
  <c r="AI46" i="1" s="1"/>
  <c r="AF54" i="1"/>
  <c r="AG54" i="1" s="1"/>
  <c r="AF70" i="1"/>
  <c r="AG70" i="1" s="1"/>
  <c r="AF76" i="1"/>
  <c r="AG76" i="1" s="1"/>
  <c r="Y82" i="1"/>
  <c r="AF14" i="1"/>
  <c r="AG14" i="1" s="1"/>
  <c r="AF15" i="1"/>
  <c r="AH15" i="1" s="1"/>
  <c r="AF31" i="1"/>
  <c r="AK31" i="1" s="1"/>
  <c r="AF22" i="1"/>
  <c r="AH22" i="1" s="1"/>
  <c r="AF62" i="1"/>
  <c r="AF55" i="1"/>
  <c r="AH55" i="1" s="1"/>
  <c r="AF63" i="1"/>
  <c r="AK63" i="1" s="1"/>
  <c r="AF16" i="1"/>
  <c r="AG16" i="1" s="1"/>
  <c r="AA82" i="1"/>
  <c r="AH2" i="1"/>
  <c r="AG2" i="1"/>
  <c r="AI18" i="1"/>
  <c r="AH18" i="1"/>
  <c r="AI34" i="1"/>
  <c r="AK34" i="1"/>
  <c r="AH34" i="1"/>
  <c r="AI50" i="1"/>
  <c r="AH50" i="1"/>
  <c r="AK50" i="1"/>
  <c r="AG66" i="1"/>
  <c r="AI22" i="1"/>
  <c r="AK22" i="1"/>
  <c r="AI10" i="1"/>
  <c r="AH10" i="1"/>
  <c r="AK10" i="1"/>
  <c r="AG10" i="1"/>
  <c r="AI26" i="1"/>
  <c r="AH26" i="1"/>
  <c r="AH54" i="1"/>
  <c r="AI62" i="1"/>
  <c r="AH62" i="1"/>
  <c r="AK62" i="1"/>
  <c r="AG62" i="1"/>
  <c r="AI42" i="1"/>
  <c r="AH42" i="1"/>
  <c r="AK42" i="1"/>
  <c r="AG42" i="1"/>
  <c r="AI58" i="1"/>
  <c r="AK58" i="1"/>
  <c r="AK6" i="1"/>
  <c r="AG6" i="1"/>
  <c r="AI38" i="1"/>
  <c r="AH38" i="1"/>
  <c r="AK38" i="1"/>
  <c r="AG38" i="1"/>
  <c r="AI14" i="1"/>
  <c r="AH14" i="1"/>
  <c r="AK14" i="1"/>
  <c r="AF40" i="1"/>
  <c r="L82" i="1"/>
  <c r="AB82" i="1"/>
  <c r="AF20" i="1"/>
  <c r="AF33" i="1"/>
  <c r="AF59" i="1"/>
  <c r="AF61" i="1"/>
  <c r="Z82" i="1"/>
  <c r="AI55" i="1"/>
  <c r="AI11" i="1"/>
  <c r="AG11" i="1"/>
  <c r="AK80" i="1"/>
  <c r="AH80" i="1"/>
  <c r="M82" i="1"/>
  <c r="AC82" i="1"/>
  <c r="AF13" i="1"/>
  <c r="AF35" i="1"/>
  <c r="AF44" i="1"/>
  <c r="AF17" i="1"/>
  <c r="AF39" i="1"/>
  <c r="AF67" i="1"/>
  <c r="AF69" i="1"/>
  <c r="AI78" i="1"/>
  <c r="AH78" i="1"/>
  <c r="AK78" i="1"/>
  <c r="AG78" i="1"/>
  <c r="AF56" i="1"/>
  <c r="AF73" i="1"/>
  <c r="R82" i="1"/>
  <c r="AJ84" i="1"/>
  <c r="AF28" i="1"/>
  <c r="AF41" i="1"/>
  <c r="AF71" i="1"/>
  <c r="AF77" i="1"/>
  <c r="AI15" i="1"/>
  <c r="AG15" i="1"/>
  <c r="AF21" i="1"/>
  <c r="AF43" i="1"/>
  <c r="AF60" i="1"/>
  <c r="AF75" i="1"/>
  <c r="AK81" i="1"/>
  <c r="AI81" i="1"/>
  <c r="AH81" i="1"/>
  <c r="AF45" i="1"/>
  <c r="AF79" i="1"/>
  <c r="AI29" i="1"/>
  <c r="AH29" i="1"/>
  <c r="AG29" i="1"/>
  <c r="AD82" i="1"/>
  <c r="AH11" i="1"/>
  <c r="AF4" i="1"/>
  <c r="AF23" i="1"/>
  <c r="U82" i="1"/>
  <c r="AF3" i="1"/>
  <c r="AF32" i="1"/>
  <c r="AF47" i="1"/>
  <c r="AF64" i="1"/>
  <c r="AK16" i="1"/>
  <c r="AI16" i="1"/>
  <c r="AI57" i="1"/>
  <c r="AK55" i="1"/>
  <c r="AI63" i="1"/>
  <c r="AH63" i="1"/>
  <c r="AG63" i="1"/>
  <c r="AF52" i="1"/>
  <c r="P82" i="1"/>
  <c r="AF19" i="1"/>
  <c r="T82" i="1"/>
  <c r="V82" i="1"/>
  <c r="AF25" i="1"/>
  <c r="AF49" i="1"/>
  <c r="AF9" i="1"/>
  <c r="N82" i="1"/>
  <c r="AK29" i="1"/>
  <c r="AF48" i="1"/>
  <c r="Q82" i="1"/>
  <c r="AK15" i="1"/>
  <c r="AF12" i="1"/>
  <c r="AF5" i="1"/>
  <c r="AF27" i="1"/>
  <c r="AF51" i="1"/>
  <c r="AF68" i="1"/>
  <c r="AF65" i="1"/>
  <c r="AF24" i="1"/>
  <c r="AF37" i="1"/>
  <c r="AG80" i="1"/>
  <c r="AK11" i="1"/>
  <c r="AF8" i="1"/>
  <c r="X82" i="1"/>
  <c r="AF7" i="1"/>
  <c r="AF36" i="1"/>
  <c r="AF53" i="1"/>
  <c r="AK70" i="1" l="1"/>
  <c r="AH74" i="1"/>
  <c r="AH70" i="1"/>
  <c r="AI54" i="1"/>
  <c r="AG55" i="1"/>
  <c r="AG58" i="1"/>
  <c r="AG26" i="1"/>
  <c r="AG22" i="1"/>
  <c r="AG18" i="1"/>
  <c r="AK74" i="1"/>
  <c r="AK54" i="1"/>
  <c r="AI74" i="1"/>
  <c r="AI70" i="1"/>
  <c r="AK57" i="1"/>
  <c r="AK76" i="1"/>
  <c r="AG57" i="1"/>
  <c r="AI6" i="1"/>
  <c r="AI66" i="1"/>
  <c r="AI2" i="1"/>
  <c r="AH76" i="1"/>
  <c r="AI76" i="1"/>
  <c r="AK66" i="1"/>
  <c r="AH16" i="1"/>
  <c r="AG46" i="1"/>
  <c r="AG30" i="1"/>
  <c r="AH31" i="1"/>
  <c r="AH72" i="1"/>
  <c r="AH46" i="1"/>
  <c r="AK30" i="1"/>
  <c r="AI72" i="1"/>
  <c r="AG31" i="1"/>
  <c r="AK46" i="1"/>
  <c r="AH30" i="1"/>
  <c r="AK72" i="1"/>
  <c r="AI31" i="1"/>
  <c r="AI27" i="1"/>
  <c r="AG27" i="1"/>
  <c r="AK27" i="1"/>
  <c r="AH27" i="1"/>
  <c r="AK64" i="1"/>
  <c r="AI64" i="1"/>
  <c r="AH64" i="1"/>
  <c r="AG64" i="1"/>
  <c r="AI73" i="1"/>
  <c r="AH73" i="1"/>
  <c r="AG73" i="1"/>
  <c r="AK73" i="1"/>
  <c r="AI5" i="1"/>
  <c r="AH5" i="1"/>
  <c r="AG5" i="1"/>
  <c r="AK5" i="1"/>
  <c r="AI25" i="1"/>
  <c r="AH25" i="1"/>
  <c r="AG25" i="1"/>
  <c r="AK25" i="1"/>
  <c r="AI47" i="1"/>
  <c r="AH47" i="1"/>
  <c r="AG47" i="1"/>
  <c r="AK47" i="1"/>
  <c r="AK56" i="1"/>
  <c r="AI56" i="1"/>
  <c r="AH56" i="1"/>
  <c r="AG56" i="1"/>
  <c r="AI51" i="1"/>
  <c r="AH51" i="1"/>
  <c r="AG51" i="1"/>
  <c r="AK51" i="1"/>
  <c r="AK40" i="1"/>
  <c r="AI40" i="1"/>
  <c r="AH40" i="1"/>
  <c r="AG40" i="1"/>
  <c r="AI49" i="1"/>
  <c r="AH49" i="1"/>
  <c r="AG49" i="1"/>
  <c r="AK49" i="1"/>
  <c r="AK12" i="1"/>
  <c r="AI12" i="1"/>
  <c r="AG12" i="1"/>
  <c r="AH12" i="1"/>
  <c r="AK32" i="1"/>
  <c r="AI32" i="1"/>
  <c r="AH32" i="1"/>
  <c r="AG32" i="1"/>
  <c r="AI53" i="1"/>
  <c r="AH53" i="1"/>
  <c r="AG53" i="1"/>
  <c r="AK53" i="1"/>
  <c r="AI3" i="1"/>
  <c r="AG3" i="1"/>
  <c r="AH3" i="1"/>
  <c r="AK3" i="1"/>
  <c r="AK36" i="1"/>
  <c r="AI36" i="1"/>
  <c r="AG36" i="1"/>
  <c r="AH36" i="1"/>
  <c r="AI19" i="1"/>
  <c r="AG19" i="1"/>
  <c r="AK19" i="1"/>
  <c r="AH19" i="1"/>
  <c r="AI75" i="1"/>
  <c r="AH75" i="1"/>
  <c r="AG75" i="1"/>
  <c r="AK75" i="1"/>
  <c r="AI7" i="1"/>
  <c r="AG7" i="1"/>
  <c r="AK7" i="1"/>
  <c r="AH7" i="1"/>
  <c r="AI23" i="1"/>
  <c r="AG23" i="1"/>
  <c r="AH23" i="1"/>
  <c r="AK23" i="1"/>
  <c r="AK60" i="1"/>
  <c r="AI60" i="1"/>
  <c r="AH60" i="1"/>
  <c r="AG60" i="1"/>
  <c r="AK48" i="1"/>
  <c r="AI48" i="1"/>
  <c r="AH48" i="1"/>
  <c r="AG48" i="1"/>
  <c r="AK52" i="1"/>
  <c r="AI52" i="1"/>
  <c r="AH52" i="1"/>
  <c r="AG52" i="1"/>
  <c r="AK4" i="1"/>
  <c r="AI4" i="1"/>
  <c r="AH4" i="1"/>
  <c r="AG4" i="1"/>
  <c r="AI69" i="1"/>
  <c r="AH69" i="1"/>
  <c r="AG69" i="1"/>
  <c r="AK69" i="1"/>
  <c r="AK8" i="1"/>
  <c r="AI8" i="1"/>
  <c r="AH8" i="1"/>
  <c r="AG8" i="1"/>
  <c r="AI21" i="1"/>
  <c r="AH21" i="1"/>
  <c r="AG21" i="1"/>
  <c r="AK21" i="1"/>
  <c r="AI67" i="1"/>
  <c r="AH67" i="1"/>
  <c r="AG67" i="1"/>
  <c r="AK67" i="1"/>
  <c r="AI39" i="1"/>
  <c r="AG39" i="1"/>
  <c r="AK39" i="1"/>
  <c r="AH39" i="1"/>
  <c r="AI61" i="1"/>
  <c r="AH61" i="1"/>
  <c r="AG61" i="1"/>
  <c r="AK61" i="1"/>
  <c r="AI43" i="1"/>
  <c r="AH43" i="1"/>
  <c r="AG43" i="1"/>
  <c r="AK43" i="1"/>
  <c r="AI17" i="1"/>
  <c r="AH17" i="1"/>
  <c r="AG17" i="1"/>
  <c r="AK17" i="1"/>
  <c r="AI59" i="1"/>
  <c r="AH59" i="1"/>
  <c r="AG59" i="1"/>
  <c r="AK59" i="1"/>
  <c r="AI37" i="1"/>
  <c r="AH37" i="1"/>
  <c r="AG37" i="1"/>
  <c r="AK37" i="1"/>
  <c r="AI77" i="1"/>
  <c r="AH77" i="1"/>
  <c r="AG77" i="1"/>
  <c r="AK77" i="1"/>
  <c r="AK44" i="1"/>
  <c r="AI44" i="1"/>
  <c r="AG44" i="1"/>
  <c r="AH44" i="1"/>
  <c r="AH33" i="1"/>
  <c r="AI33" i="1"/>
  <c r="AG33" i="1"/>
  <c r="AK33" i="1"/>
  <c r="AK24" i="1"/>
  <c r="AI24" i="1"/>
  <c r="AH24" i="1"/>
  <c r="AG24" i="1"/>
  <c r="AI71" i="1"/>
  <c r="AH71" i="1"/>
  <c r="AG71" i="1"/>
  <c r="AK71" i="1"/>
  <c r="AI35" i="1"/>
  <c r="AG35" i="1"/>
  <c r="AK35" i="1"/>
  <c r="AH35" i="1"/>
  <c r="AK20" i="1"/>
  <c r="AI20" i="1"/>
  <c r="AH20" i="1"/>
  <c r="AG20" i="1"/>
  <c r="AF82" i="1"/>
  <c r="AF84" i="1" s="1"/>
  <c r="AK68" i="1"/>
  <c r="AI68" i="1"/>
  <c r="AG68" i="1"/>
  <c r="AH68" i="1"/>
  <c r="AI65" i="1"/>
  <c r="AH65" i="1"/>
  <c r="AG65" i="1"/>
  <c r="AK65" i="1"/>
  <c r="AI9" i="1"/>
  <c r="AH9" i="1"/>
  <c r="AG9" i="1"/>
  <c r="AK9" i="1"/>
  <c r="AI79" i="1"/>
  <c r="AH79" i="1"/>
  <c r="AG79" i="1"/>
  <c r="AK79" i="1"/>
  <c r="AI41" i="1"/>
  <c r="AH41" i="1"/>
  <c r="AG41" i="1"/>
  <c r="AK41" i="1"/>
  <c r="AI13" i="1"/>
  <c r="AH13" i="1"/>
  <c r="AG13" i="1"/>
  <c r="AK13" i="1"/>
  <c r="AI45" i="1"/>
  <c r="AH45" i="1"/>
  <c r="AG45" i="1"/>
  <c r="AK45" i="1"/>
  <c r="AK28" i="1"/>
  <c r="AI28" i="1"/>
  <c r="AH28" i="1"/>
  <c r="AG28" i="1"/>
  <c r="AH82" i="1" l="1"/>
  <c r="AK84" i="1"/>
</calcChain>
</file>

<file path=xl/sharedStrings.xml><?xml version="1.0" encoding="utf-8"?>
<sst xmlns="http://schemas.openxmlformats.org/spreadsheetml/2006/main" count="597" uniqueCount="307">
  <si>
    <t>Fuente</t>
  </si>
  <si>
    <t>Categoria</t>
  </si>
  <si>
    <t>Genero</t>
  </si>
  <si>
    <t>Modelo</t>
  </si>
  <si>
    <t>Material</t>
  </si>
  <si>
    <t>Descripcion material</t>
  </si>
  <si>
    <t>Color</t>
  </si>
  <si>
    <t>Precio PA (USD)</t>
  </si>
  <si>
    <t>US MSRP (USD)</t>
  </si>
  <si>
    <t>MSRP COL sugerido (COP)</t>
  </si>
  <si>
    <t>Bultos (editable)</t>
  </si>
  <si>
    <t>1</t>
  </si>
  <si>
    <t>2</t>
  </si>
  <si>
    <t>3</t>
  </si>
  <si>
    <t>4</t>
  </si>
  <si>
    <t>5</t>
  </si>
  <si>
    <t>5.5</t>
  </si>
  <si>
    <t>6</t>
  </si>
  <si>
    <t>6.5</t>
  </si>
  <si>
    <t>7</t>
  </si>
  <si>
    <t>7.5</t>
  </si>
  <si>
    <t>8</t>
  </si>
  <si>
    <t>8.5</t>
  </si>
  <si>
    <t>9</t>
  </si>
  <si>
    <t>9.5</t>
  </si>
  <si>
    <t>10</t>
  </si>
  <si>
    <t>10.5</t>
  </si>
  <si>
    <t>11</t>
  </si>
  <si>
    <t>11.5</t>
  </si>
  <si>
    <t>12</t>
  </si>
  <si>
    <t>13</t>
  </si>
  <si>
    <t>Total pares</t>
  </si>
  <si>
    <t>Check bultos</t>
  </si>
  <si>
    <t>Costo (USD)</t>
  </si>
  <si>
    <t>Faltante pares (stock ATS)</t>
  </si>
  <si>
    <t>Reserva Otros Terr. (pares)</t>
  </si>
  <si>
    <t>Neto Colombia (pares)</t>
  </si>
  <si>
    <t>ATS USA (Pedido)</t>
  </si>
  <si>
    <t>Boulevard</t>
  </si>
  <si>
    <t>MEN</t>
  </si>
  <si>
    <t>JASPER MERKO</t>
  </si>
  <si>
    <t>1032554</t>
  </si>
  <si>
    <t>JASPER MERKO M-BLACK/BLACK</t>
  </si>
  <si>
    <t>BLACK/BLACK</t>
  </si>
  <si>
    <t>JASPER ZIONIC</t>
  </si>
  <si>
    <t>1031790</t>
  </si>
  <si>
    <t>JASPER ZIONIC M-DARK OLIVE/KHAKI</t>
  </si>
  <si>
    <t>DARK OLIVE/KHAKI</t>
  </si>
  <si>
    <t>1032645</t>
  </si>
  <si>
    <t>JASPER ZIONIC M-CHIPMUNK/HUCKLEBERRY</t>
  </si>
  <si>
    <t>CHIPMUNK/HUCKLEBERRY</t>
  </si>
  <si>
    <t>JASPER ZIONIC WP</t>
  </si>
  <si>
    <t>1032795</t>
  </si>
  <si>
    <t>JASPER ZIONIC WP M-BLACK/BLACK</t>
  </si>
  <si>
    <t>KNX T-TOE</t>
  </si>
  <si>
    <t>1030622</t>
  </si>
  <si>
    <t>KNX T-TOE M-BLACK/BLACK</t>
  </si>
  <si>
    <t>KS86</t>
  </si>
  <si>
    <t>1029593</t>
  </si>
  <si>
    <t>KS86 M-BLACK/BIRCH</t>
  </si>
  <si>
    <t>BLACK/BIRCH</t>
  </si>
  <si>
    <t>1032651</t>
  </si>
  <si>
    <t>KS86 M-CHIPMUNK/BLACK</t>
  </si>
  <si>
    <t>CHIPMUNK/BLACK</t>
  </si>
  <si>
    <t>KS86 LEA</t>
  </si>
  <si>
    <t>1031824</t>
  </si>
  <si>
    <t>KS86 LEA M-BIRCH/STAR WHITE</t>
  </si>
  <si>
    <t>BIRCH/STAR WHITE</t>
  </si>
  <si>
    <t>TARGHEE IV OXFORD</t>
  </si>
  <si>
    <t>1031647</t>
  </si>
  <si>
    <t>TARGHEE IV OXFORD M-BLACK</t>
  </si>
  <si>
    <t>BLACK</t>
  </si>
  <si>
    <t>TARGHEE IV SLIP-ON</t>
  </si>
  <si>
    <t>1031163</t>
  </si>
  <si>
    <t>TARGHEE IV SLIP-ON M-JAVA/BLACK</t>
  </si>
  <si>
    <t>JAVA/BLACK</t>
  </si>
  <si>
    <t>Trailhead</t>
  </si>
  <si>
    <t>HIGHTRAIL MID WP</t>
  </si>
  <si>
    <t>1030343</t>
  </si>
  <si>
    <t>HIGHTRAIL MID WP M-BRINDLE/OAK BUFF</t>
  </si>
  <si>
    <t>BRINDLE/OAK BUFF</t>
  </si>
  <si>
    <t>HIGHTRAIL WP</t>
  </si>
  <si>
    <t>1031842</t>
  </si>
  <si>
    <t>HIGHTRAIL WP M-FOREST NIGHT/DARK OLIVE</t>
  </si>
  <si>
    <t>FOREST NIGHT/DARK OLIVE</t>
  </si>
  <si>
    <t>TARGHEE APEX MID WP</t>
  </si>
  <si>
    <t>1032054</t>
  </si>
  <si>
    <t>TARGHEE APEX MID WP M-DARK OLIVE/KHAKI</t>
  </si>
  <si>
    <t>TARGHEE APEX WP</t>
  </si>
  <si>
    <t>1032033</t>
  </si>
  <si>
    <t>TARGHEE APEX WP M-BLACK/ABBEY STONE</t>
  </si>
  <si>
    <t>BLACK/ABBEY STONE</t>
  </si>
  <si>
    <t>1032287</t>
  </si>
  <si>
    <t>TARGHEE APEX WP M-BRINDLE/CANTEEN</t>
  </si>
  <si>
    <t>BRINDLE/CANTEEN</t>
  </si>
  <si>
    <t>TARGHEE IV MID WP</t>
  </si>
  <si>
    <t>1028988</t>
  </si>
  <si>
    <t>TARGHEE IV MID WP M-BISON/BLACK</t>
  </si>
  <si>
    <t>BISON/BLACK</t>
  </si>
  <si>
    <t>1031773</t>
  </si>
  <si>
    <t>TARGHEE IV MID WP M-JAVA/BRINDLE</t>
  </si>
  <si>
    <t>JAVA/BRINDLE</t>
  </si>
  <si>
    <t>TARGHEE IV VENT</t>
  </si>
  <si>
    <t>1028998</t>
  </si>
  <si>
    <t>TARGHEE IV VENT M-BISON/GOLDEN YELLOW</t>
  </si>
  <si>
    <t>BISON/GOLDEN YELLOW</t>
  </si>
  <si>
    <t>TARGHEE IV WP</t>
  </si>
  <si>
    <t>1028997</t>
  </si>
  <si>
    <t>TARGHEE IV WP M-BISON/BLACK</t>
  </si>
  <si>
    <t>1030691</t>
  </si>
  <si>
    <t>TARGHEE IV WP M-SEA TURTLE/ROASTED PECAN</t>
  </si>
  <si>
    <t>SEA TURTLE/ROASTED PECAN</t>
  </si>
  <si>
    <t>UNEEK</t>
  </si>
  <si>
    <t>1014097</t>
  </si>
  <si>
    <t>UNEEK M-BLACK/BLACK</t>
  </si>
  <si>
    <t>1025169</t>
  </si>
  <si>
    <t>UNEEK M-TIMBERWOLF/PLAZA TAUPE</t>
  </si>
  <si>
    <t>TIMBERWOLF/PLAZA TAUPE</t>
  </si>
  <si>
    <t>UNEEK TREKKER</t>
  </si>
  <si>
    <t>1032783</t>
  </si>
  <si>
    <t>UNEEK TREKKER M-BLACK/KEEN MAPLE</t>
  </si>
  <si>
    <t>BLACK/KEEN MAPLE</t>
  </si>
  <si>
    <t>Waterfront</t>
  </si>
  <si>
    <t>CLEARWATER CNX</t>
  </si>
  <si>
    <t>1014456</t>
  </si>
  <si>
    <t>CLEARWATER CNX M-RAVEN/TORTOISE SHELL</t>
  </si>
  <si>
    <t>RAVEN/TORTOISE SHELL</t>
  </si>
  <si>
    <t>NEWPORT</t>
  </si>
  <si>
    <t>1001870</t>
  </si>
  <si>
    <t>NEWPORT M-BISON</t>
  </si>
  <si>
    <t>BISON</t>
  </si>
  <si>
    <t>TARGHEE III SANDAL</t>
  </si>
  <si>
    <t>1022427</t>
  </si>
  <si>
    <t>TARGHEE III SANDAL M-BISON/MULCH</t>
  </si>
  <si>
    <t>BISON/MULCH</t>
  </si>
  <si>
    <t>WOMEN</t>
  </si>
  <si>
    <t>ELLE BACKSTRAP</t>
  </si>
  <si>
    <t>1022620</t>
  </si>
  <si>
    <t>ELLE BACKSTRAP W-BLACK</t>
  </si>
  <si>
    <t>1027160</t>
  </si>
  <si>
    <t>ELLE BACKSTRAP W-BRINDLE/BIRCH</t>
  </si>
  <si>
    <t>BRINDLE/BIRCH</t>
  </si>
  <si>
    <t>1030141</t>
  </si>
  <si>
    <t>ELLE BACKSTRAP W-CORNSTALK/BLACK</t>
  </si>
  <si>
    <t>CORNSTALK/BLACK</t>
  </si>
  <si>
    <t>ELLE MILA BACKSTRAP</t>
  </si>
  <si>
    <t>1031897</t>
  </si>
  <si>
    <t>ELLE MILA BACKSTRAP W-BRINDLE</t>
  </si>
  <si>
    <t>BRINDLE</t>
  </si>
  <si>
    <t>1031901</t>
  </si>
  <si>
    <t>ELLE MILA BACKSTRAP W-BIRCH/BIRCH</t>
  </si>
  <si>
    <t>BIRCH/BIRCH</t>
  </si>
  <si>
    <t>JASPER</t>
  </si>
  <si>
    <t>1030557</t>
  </si>
  <si>
    <t>JASPER W-BIRCH/BLACK</t>
  </si>
  <si>
    <t>BIRCH/BLACK</t>
  </si>
  <si>
    <t>1032946</t>
  </si>
  <si>
    <t>JASPER W-BIRCH/CAMEO ROSE</t>
  </si>
  <si>
    <t>BIRCH/CAMEO ROSE</t>
  </si>
  <si>
    <t>1032555</t>
  </si>
  <si>
    <t>JASPER MERKO W-BIRCH/PLAZA TAUPE</t>
  </si>
  <si>
    <t>BIRCH/PLAZA TAUPE</t>
  </si>
  <si>
    <t>1032665</t>
  </si>
  <si>
    <t>JASPER ZIONIC W-CHIPMUNK/SYMPHONIC SUNSE</t>
  </si>
  <si>
    <t>CHIPMUNK/SYMPHONIC SUNSET</t>
  </si>
  <si>
    <t>1032668</t>
  </si>
  <si>
    <t>JASPER ZIONIC W-DESERT SAGE/LEMON GRASS</t>
  </si>
  <si>
    <t>DESERT SAGE/LEMON GRASS</t>
  </si>
  <si>
    <t>1032669</t>
  </si>
  <si>
    <t>JASPER ZIONIC W-BRINDLE/BIRCH</t>
  </si>
  <si>
    <t>1030626</t>
  </si>
  <si>
    <t>KNX T-TOE W-BIRCH/BIRCH</t>
  </si>
  <si>
    <t>KOSA OXFORD</t>
  </si>
  <si>
    <t>1031310</t>
  </si>
  <si>
    <t>KOSA OXFORD W-BLACK/BLACK</t>
  </si>
  <si>
    <t>1030348</t>
  </si>
  <si>
    <t>HIGHTRAIL MID WP W-SAFARI/CHIPMUNK</t>
  </si>
  <si>
    <t>SAFARI/CHIPMUNK</t>
  </si>
  <si>
    <t>1030349</t>
  </si>
  <si>
    <t>HIGHTRAIL WP W-ROASTED PECAN/CHIPMUNK</t>
  </si>
  <si>
    <t>ROASTED PECAN/CHIPMUNK</t>
  </si>
  <si>
    <t>1032049</t>
  </si>
  <si>
    <t>TARGHEE APEX MID WP W-LILY PAD/FIG</t>
  </si>
  <si>
    <t>LILY PAD/FIG</t>
  </si>
  <si>
    <t>1032040</t>
  </si>
  <si>
    <t>TARGHEE APEX WP W-SAFARI/BIRCH</t>
  </si>
  <si>
    <t>SAFARI/BIRCH</t>
  </si>
  <si>
    <t>1029000</t>
  </si>
  <si>
    <t>TARGHEE IV VENT W-ALLOY/GRANITE GREEN</t>
  </si>
  <si>
    <t>ALLOY/GRANITE GREEN</t>
  </si>
  <si>
    <t>1028992</t>
  </si>
  <si>
    <t>TARGHEE IV WP W-ALLOY/GRANITE GREEN</t>
  </si>
  <si>
    <t>1032232</t>
  </si>
  <si>
    <t>TARGHEE IV WP W-STEEL GREY/LILY PAD</t>
  </si>
  <si>
    <t>STEEL GREY/LILY PAD</t>
  </si>
  <si>
    <t>1018698</t>
  </si>
  <si>
    <t>UNEEK W-WHITE CAP/CORNSTALK</t>
  </si>
  <si>
    <t>WHITE CAP/CORNSTALK</t>
  </si>
  <si>
    <t>UNEEK ASTORIA</t>
  </si>
  <si>
    <t>1027291</t>
  </si>
  <si>
    <t>UNEEK ASTORIA W-BIRCH/SILVER BIRCH</t>
  </si>
  <si>
    <t>BIRCH/SILVER BIRCH</t>
  </si>
  <si>
    <t>ASTORIA WEST SANDAL</t>
  </si>
  <si>
    <t>1023594</t>
  </si>
  <si>
    <t>ASTORIA WEST SANDAL W-BLACK/GREY</t>
  </si>
  <si>
    <t>BLACK/GREY</t>
  </si>
  <si>
    <t>BALI TG LTR</t>
  </si>
  <si>
    <t>1032225</t>
  </si>
  <si>
    <t>BALI TG LTR W-CHIPMUNK/BIRCH</t>
  </si>
  <si>
    <t>CHIPMUNK/BIRCH</t>
  </si>
  <si>
    <t>1032226</t>
  </si>
  <si>
    <t>BALI TG LTR W-LILY PAD/STEEL GREY</t>
  </si>
  <si>
    <t>LILY PAD/STEEL GREY</t>
  </si>
  <si>
    <t>NEWPORT RETRO</t>
  </si>
  <si>
    <t>1018822</t>
  </si>
  <si>
    <t>NEWPORT RETRO W-ORIGINAL TIE DYE</t>
  </si>
  <si>
    <t>ORIGINAL TIE DYE</t>
  </si>
  <si>
    <t>WHISPER</t>
  </si>
  <si>
    <t>1022810</t>
  </si>
  <si>
    <t>WHISPER W-TAUPE/CORAL</t>
  </si>
  <si>
    <t>TAUPE/CORAL</t>
  </si>
  <si>
    <t>1022814</t>
  </si>
  <si>
    <t>WHISPER W-MEDIUM GREY/PEACOCK GREEN</t>
  </si>
  <si>
    <t>MEDIUM GREY/PEACOCK GREEN</t>
  </si>
  <si>
    <t>WHISPER LATTICE</t>
  </si>
  <si>
    <t>1031980</t>
  </si>
  <si>
    <t>WHISPER LATTICE W-LILY PAD/PLAZA TAUPE</t>
  </si>
  <si>
    <t>LILY PAD/PLAZA TAUPE</t>
  </si>
  <si>
    <t>WHISPER LITE</t>
  </si>
  <si>
    <t>1031958</t>
  </si>
  <si>
    <t>WHISPER LITE W-SAFARI/BIRCH</t>
  </si>
  <si>
    <t>Kids</t>
  </si>
  <si>
    <t>CHILDREN</t>
  </si>
  <si>
    <t>1032066</t>
  </si>
  <si>
    <t>HIGHTRAIL WP C-BIRCH/DAFFODIL</t>
  </si>
  <si>
    <t>BIRCH/DAFFODIL</t>
  </si>
  <si>
    <t>HYPERFLT</t>
  </si>
  <si>
    <t>1031991</t>
  </si>
  <si>
    <t>HYPERFLT C-PURPLE HAZE/PEACH FUZZ</t>
  </si>
  <si>
    <t>PURPLE HAZE/PEACH FUZZ</t>
  </si>
  <si>
    <t>HYPERPORT H2</t>
  </si>
  <si>
    <t>1031922</t>
  </si>
  <si>
    <t>HYPERPORT H2 C-BRIGHT AQUA/WAX YELLOW</t>
  </si>
  <si>
    <t>BRIGHT AQUA/WAX YELLOW</t>
  </si>
  <si>
    <t>1031923</t>
  </si>
  <si>
    <t>HYPERPORT H2 C-NAVAL ACADEMY/VIBRANT GRE</t>
  </si>
  <si>
    <t>NAVAL ACADEMY/VIBRANT GREEN</t>
  </si>
  <si>
    <t>1032060</t>
  </si>
  <si>
    <t>JASPER ZIONIC C-SAFARI/WAX YELLOW</t>
  </si>
  <si>
    <t>SAFARI/WAX YELLOW</t>
  </si>
  <si>
    <t>1032777</t>
  </si>
  <si>
    <t>JASPER ZIONIC C-AQUIFER/SCENIC GREEN</t>
  </si>
  <si>
    <t>AQUIFER/SCENIC GREEN</t>
  </si>
  <si>
    <t>KNX T-TOE DS</t>
  </si>
  <si>
    <t>1031271</t>
  </si>
  <si>
    <t>KNX T-TOE DS C-LILAS/STAR WHITE</t>
  </si>
  <si>
    <t>LILAS/STAR WHITE</t>
  </si>
  <si>
    <t>1031284</t>
  </si>
  <si>
    <t>KS86 C-BIRCH/STAR WHITE</t>
  </si>
  <si>
    <t>MOXIE SANDAL</t>
  </si>
  <si>
    <t>1018363</t>
  </si>
  <si>
    <t>MOXIE SANDAL C-SILVER</t>
  </si>
  <si>
    <t>SILVER</t>
  </si>
  <si>
    <t>1028832</t>
  </si>
  <si>
    <t>MOXIE SANDAL C-NOSTALGIA ROSE/PAPAYA PUN</t>
  </si>
  <si>
    <t>NOSTALGIA ROSE/PAPAYA PUNCH</t>
  </si>
  <si>
    <t>TARGHEE IV LOW WP</t>
  </si>
  <si>
    <t>1029804</t>
  </si>
  <si>
    <t>TARGHEE IV LOW WP C-REEF WATERS/DAIQUIRI</t>
  </si>
  <si>
    <t>REEF WATERS/DAIQUIRI GREEN</t>
  </si>
  <si>
    <t>1029613</t>
  </si>
  <si>
    <t>TARGHEE IV MID WP C-ALLOY/GRANITE GREEN</t>
  </si>
  <si>
    <t>YOUTH</t>
  </si>
  <si>
    <t>1031910</t>
  </si>
  <si>
    <t>HYPERPORT H2 Y-PINK LEMONADE/PEACH FUZZ</t>
  </si>
  <si>
    <t>PINK LEMONADE/PEACH FUZZ</t>
  </si>
  <si>
    <t>1031915</t>
  </si>
  <si>
    <t>HYPERPORT H2 Y-NAVAL ACADEMY/VIBRANT GRE</t>
  </si>
  <si>
    <t>1032020</t>
  </si>
  <si>
    <t>JASPER ZIONIC Y-CASHMERE ROSE/GIGGLE PIN</t>
  </si>
  <si>
    <t>CASHMERE ROSE/GIGGLE PINK</t>
  </si>
  <si>
    <t>1032022</t>
  </si>
  <si>
    <t>JASPER ZIONIC Y-SAFARI/WAX YELLOW</t>
  </si>
  <si>
    <t>1031287</t>
  </si>
  <si>
    <t>KS86 Y-BIRCH/STAR WHITE</t>
  </si>
  <si>
    <t>NEWPORT H2</t>
  </si>
  <si>
    <t>1018441</t>
  </si>
  <si>
    <t>NEWPORT H2 Y-RAINBOW TIE DYE</t>
  </si>
  <si>
    <t>RAINBOW TIE DYE</t>
  </si>
  <si>
    <t>1029140</t>
  </si>
  <si>
    <t>NEWPORT H2 Y-NAVAL ACADEMY/KEEN YELLOW</t>
  </si>
  <si>
    <t>NAVAL ACADEMY/KEEN YELLOW</t>
  </si>
  <si>
    <t>SEACAMP II CNX</t>
  </si>
  <si>
    <t>1030768</t>
  </si>
  <si>
    <t>SEACAMP II CNX Y-MOONLITE MAUVE/GIGGLE P</t>
  </si>
  <si>
    <t>MOONLITE MAUVE/GIGGLE PINK</t>
  </si>
  <si>
    <t>1030813</t>
  </si>
  <si>
    <t>SEACAMP II CNX Y-DUBARRY/GIGGLE PINK</t>
  </si>
  <si>
    <t>DUBARRY/GIGGLE PINK</t>
  </si>
  <si>
    <t>TOTS</t>
  </si>
  <si>
    <t>1032002</t>
  </si>
  <si>
    <t>HYPERFLT T-BRONZE GREEN/ORANGE PEEL</t>
  </si>
  <si>
    <t>BRONZE GREEN/ORANGE PEEL</t>
  </si>
  <si>
    <t>1031924</t>
  </si>
  <si>
    <t>HYPERPORT H2 T-PINK LEMONADE/PEACH FUZZ</t>
  </si>
  <si>
    <t>1031927</t>
  </si>
  <si>
    <t>HYPERPORT H2 T-NAVAL ACADEMY/VIBRANT 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</si>
</sst>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"/>
  </numFmts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</font>
    <font>
      <sz val="10"/>
      <name val="Arial"/>
      <family val="2"/>
      <charset val="1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  <charset val="1"/>
    </font>
    <font>
      <b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F3864"/>
        <bgColor indexed="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5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\OneDrive\Documentos\Antigravity%20Projects\AlturaBrands_Ops\Pedido%20Keen%20ATS%20060826%20v2.xlsx" TargetMode="External"/><Relationship Id="rId1" Type="http://schemas.openxmlformats.org/officeDocument/2006/relationships/externalLinkPath" Target="/Users/sebas/OneDrive/Documentos/Antigravity%20Projects/AlturaBrands_Ops/Pedido%20Keen%20ATS%20060826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ude Log"/>
      <sheetName val="Parametros"/>
      <sheetName val="Master Data"/>
      <sheetName val="Pedido ECOMM - MKT Place"/>
      <sheetName val="Reserva Territorios"/>
      <sheetName val="Propuesta de Compra"/>
      <sheetName val="imagenes"/>
      <sheetName val="ATS USA"/>
      <sheetName val="En Transito"/>
      <sheetName val="Bodega Matriz"/>
      <sheetName val="Posicion Lanzamiento"/>
      <sheetName val="Resumen"/>
    </sheetNames>
    <sheetDataSet>
      <sheetData sheetId="0"/>
      <sheetData sheetId="1">
        <row r="10">
          <cell r="B10">
            <v>3568</v>
          </cell>
        </row>
        <row r="16">
          <cell r="A16" t="str">
            <v>MEN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2</v>
          </cell>
          <cell r="N16">
            <v>2</v>
          </cell>
          <cell r="O16">
            <v>2</v>
          </cell>
          <cell r="P16">
            <v>1</v>
          </cell>
          <cell r="Q16">
            <v>1</v>
          </cell>
          <cell r="R16">
            <v>1</v>
          </cell>
          <cell r="S16">
            <v>0</v>
          </cell>
          <cell r="T16">
            <v>0</v>
          </cell>
          <cell r="U16">
            <v>0</v>
          </cell>
        </row>
        <row r="17">
          <cell r="A17" t="str">
            <v>WOMEN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1</v>
          </cell>
          <cell r="G17">
            <v>1</v>
          </cell>
          <cell r="H17">
            <v>1</v>
          </cell>
          <cell r="I17">
            <v>2</v>
          </cell>
          <cell r="J17">
            <v>3</v>
          </cell>
          <cell r="K17">
            <v>2</v>
          </cell>
          <cell r="L17">
            <v>1</v>
          </cell>
          <cell r="M17">
            <v>1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A18" t="str">
            <v>CHILDREN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</v>
          </cell>
          <cell r="M18">
            <v>0</v>
          </cell>
          <cell r="N18">
            <v>2</v>
          </cell>
          <cell r="O18">
            <v>0</v>
          </cell>
          <cell r="P18">
            <v>2</v>
          </cell>
          <cell r="Q18">
            <v>0</v>
          </cell>
          <cell r="R18">
            <v>3</v>
          </cell>
          <cell r="S18">
            <v>0</v>
          </cell>
          <cell r="T18">
            <v>2</v>
          </cell>
          <cell r="U18">
            <v>2</v>
          </cell>
        </row>
        <row r="19">
          <cell r="A19" t="str">
            <v>YOUTH</v>
          </cell>
          <cell r="B19">
            <v>1</v>
          </cell>
          <cell r="C19">
            <v>2</v>
          </cell>
          <cell r="D19">
            <v>2</v>
          </cell>
          <cell r="E19">
            <v>3</v>
          </cell>
          <cell r="F19">
            <v>2</v>
          </cell>
          <cell r="G19">
            <v>0</v>
          </cell>
          <cell r="H19">
            <v>1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A20" t="str">
            <v>TOTS</v>
          </cell>
          <cell r="B20">
            <v>0</v>
          </cell>
          <cell r="C20">
            <v>0</v>
          </cell>
          <cell r="D20">
            <v>0</v>
          </cell>
          <cell r="E20">
            <v>3</v>
          </cell>
          <cell r="F20">
            <v>3</v>
          </cell>
          <cell r="G20">
            <v>0</v>
          </cell>
          <cell r="H20">
            <v>3</v>
          </cell>
          <cell r="I20">
            <v>0</v>
          </cell>
          <cell r="J20">
            <v>3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</sheetData>
      <sheetData sheetId="2"/>
      <sheetData sheetId="3"/>
      <sheetData sheetId="4">
        <row r="3">
          <cell r="C3" t="str">
            <v>Material</v>
          </cell>
          <cell r="J3" t="str">
            <v>Pares a reservar</v>
          </cell>
        </row>
        <row r="4">
          <cell r="C4">
            <v>1008399</v>
          </cell>
          <cell r="J4">
            <v>36</v>
          </cell>
        </row>
        <row r="5">
          <cell r="C5">
            <v>1028654</v>
          </cell>
          <cell r="J5">
            <v>24</v>
          </cell>
        </row>
        <row r="6">
          <cell r="C6">
            <v>1030857</v>
          </cell>
          <cell r="J6">
            <v>24</v>
          </cell>
        </row>
        <row r="7">
          <cell r="C7">
            <v>1031715</v>
          </cell>
          <cell r="J7">
            <v>24</v>
          </cell>
        </row>
        <row r="8">
          <cell r="C8">
            <v>1001907</v>
          </cell>
          <cell r="J8">
            <v>24</v>
          </cell>
        </row>
        <row r="9">
          <cell r="C9">
            <v>1001938</v>
          </cell>
          <cell r="J9">
            <v>24</v>
          </cell>
        </row>
        <row r="10">
          <cell r="C10">
            <v>1030137</v>
          </cell>
          <cell r="J10">
            <v>24</v>
          </cell>
        </row>
        <row r="11">
          <cell r="C11">
            <v>1025169</v>
          </cell>
          <cell r="J11">
            <v>24</v>
          </cell>
        </row>
        <row r="12">
          <cell r="C12">
            <v>1028173</v>
          </cell>
          <cell r="J12">
            <v>24</v>
          </cell>
        </row>
        <row r="13">
          <cell r="C13">
            <v>1030195</v>
          </cell>
          <cell r="J13">
            <v>24</v>
          </cell>
        </row>
        <row r="14">
          <cell r="C14">
            <v>1029585</v>
          </cell>
          <cell r="J14">
            <v>24</v>
          </cell>
        </row>
        <row r="15">
          <cell r="C15">
            <v>1031790</v>
          </cell>
          <cell r="J15">
            <v>24</v>
          </cell>
        </row>
        <row r="16">
          <cell r="C16">
            <v>1029593</v>
          </cell>
          <cell r="J16">
            <v>24</v>
          </cell>
        </row>
        <row r="17">
          <cell r="C17">
            <v>1032651</v>
          </cell>
          <cell r="J17">
            <v>24</v>
          </cell>
        </row>
        <row r="18">
          <cell r="C18">
            <v>1031797</v>
          </cell>
          <cell r="J18">
            <v>24</v>
          </cell>
        </row>
        <row r="19">
          <cell r="C19">
            <v>1029584</v>
          </cell>
          <cell r="J19">
            <v>24</v>
          </cell>
        </row>
        <row r="20">
          <cell r="C20">
            <v>1001870</v>
          </cell>
          <cell r="J20">
            <v>24</v>
          </cell>
        </row>
        <row r="21">
          <cell r="C21">
            <v>1014097</v>
          </cell>
          <cell r="J21">
            <v>24</v>
          </cell>
        </row>
        <row r="22">
          <cell r="C22">
            <v>1028657</v>
          </cell>
          <cell r="J22">
            <v>36</v>
          </cell>
        </row>
        <row r="23">
          <cell r="C23">
            <v>1028661</v>
          </cell>
          <cell r="J23">
            <v>36</v>
          </cell>
        </row>
        <row r="24">
          <cell r="C24">
            <v>1030678</v>
          </cell>
          <cell r="J24">
            <v>36</v>
          </cell>
        </row>
        <row r="25">
          <cell r="C25">
            <v>1030679</v>
          </cell>
          <cell r="J25">
            <v>36</v>
          </cell>
        </row>
        <row r="26">
          <cell r="C26">
            <v>1031750</v>
          </cell>
          <cell r="J26">
            <v>36</v>
          </cell>
        </row>
        <row r="27">
          <cell r="C27">
            <v>1026245</v>
          </cell>
          <cell r="J27">
            <v>36</v>
          </cell>
        </row>
        <row r="28">
          <cell r="C28">
            <v>1031126</v>
          </cell>
          <cell r="J28">
            <v>24</v>
          </cell>
        </row>
        <row r="29">
          <cell r="C29">
            <v>1031868</v>
          </cell>
          <cell r="J29">
            <v>24</v>
          </cell>
        </row>
        <row r="30">
          <cell r="C30">
            <v>1029595</v>
          </cell>
          <cell r="J30">
            <v>24</v>
          </cell>
        </row>
        <row r="31">
          <cell r="C31">
            <v>1032654</v>
          </cell>
          <cell r="J31">
            <v>24</v>
          </cell>
        </row>
        <row r="32">
          <cell r="C32">
            <v>1032655</v>
          </cell>
          <cell r="J32">
            <v>24</v>
          </cell>
        </row>
        <row r="33">
          <cell r="J33">
            <v>780</v>
          </cell>
        </row>
      </sheetData>
      <sheetData sheetId="5"/>
      <sheetData sheetId="6"/>
      <sheetData sheetId="7">
        <row r="2">
          <cell r="S2">
            <v>41</v>
          </cell>
          <cell r="T2">
            <v>10</v>
          </cell>
          <cell r="U2">
            <v>50</v>
          </cell>
          <cell r="V2">
            <v>41</v>
          </cell>
          <cell r="W2">
            <v>50</v>
          </cell>
          <cell r="X2">
            <v>40</v>
          </cell>
          <cell r="Y2">
            <v>50</v>
          </cell>
          <cell r="Z2">
            <v>27</v>
          </cell>
          <cell r="AA2">
            <v>50</v>
          </cell>
          <cell r="AB2">
            <v>25</v>
          </cell>
          <cell r="AC2">
            <v>50</v>
          </cell>
          <cell r="AD2">
            <v>26</v>
          </cell>
        </row>
        <row r="3">
          <cell r="T3">
            <v>12</v>
          </cell>
          <cell r="U3">
            <v>32</v>
          </cell>
          <cell r="V3">
            <v>38</v>
          </cell>
          <cell r="W3">
            <v>50</v>
          </cell>
          <cell r="X3">
            <v>50</v>
          </cell>
          <cell r="Y3">
            <v>50</v>
          </cell>
          <cell r="Z3">
            <v>50</v>
          </cell>
          <cell r="AA3">
            <v>50</v>
          </cell>
          <cell r="AB3">
            <v>50</v>
          </cell>
          <cell r="AC3">
            <v>50</v>
          </cell>
          <cell r="AD3">
            <v>50</v>
          </cell>
        </row>
        <row r="4">
          <cell r="U4">
            <v>21</v>
          </cell>
          <cell r="V4">
            <v>40</v>
          </cell>
          <cell r="W4">
            <v>50</v>
          </cell>
          <cell r="X4">
            <v>50</v>
          </cell>
          <cell r="Y4">
            <v>50</v>
          </cell>
          <cell r="Z4">
            <v>50</v>
          </cell>
          <cell r="AA4">
            <v>50</v>
          </cell>
          <cell r="AB4">
            <v>50</v>
          </cell>
          <cell r="AC4">
            <v>50</v>
          </cell>
          <cell r="AD4">
            <v>50</v>
          </cell>
        </row>
        <row r="5">
          <cell r="S5">
            <v>46</v>
          </cell>
          <cell r="T5">
            <v>9</v>
          </cell>
          <cell r="U5">
            <v>50</v>
          </cell>
          <cell r="V5">
            <v>38</v>
          </cell>
          <cell r="W5">
            <v>50</v>
          </cell>
          <cell r="X5">
            <v>31</v>
          </cell>
          <cell r="Y5">
            <v>50</v>
          </cell>
          <cell r="AA5">
            <v>50</v>
          </cell>
          <cell r="AB5">
            <v>16</v>
          </cell>
          <cell r="AC5">
            <v>50</v>
          </cell>
          <cell r="AD5">
            <v>14</v>
          </cell>
        </row>
        <row r="6">
          <cell r="S6">
            <v>7</v>
          </cell>
          <cell r="T6">
            <v>11</v>
          </cell>
          <cell r="U6">
            <v>43</v>
          </cell>
          <cell r="V6">
            <v>39</v>
          </cell>
          <cell r="W6">
            <v>50</v>
          </cell>
          <cell r="X6">
            <v>50</v>
          </cell>
          <cell r="Y6">
            <v>50</v>
          </cell>
          <cell r="Z6">
            <v>50</v>
          </cell>
          <cell r="AA6">
            <v>50</v>
          </cell>
          <cell r="AB6">
            <v>50</v>
          </cell>
          <cell r="AC6">
            <v>50</v>
          </cell>
          <cell r="AD6">
            <v>50</v>
          </cell>
        </row>
        <row r="7">
          <cell r="S7">
            <v>26</v>
          </cell>
          <cell r="T7">
            <v>36</v>
          </cell>
          <cell r="U7">
            <v>50</v>
          </cell>
          <cell r="V7">
            <v>50</v>
          </cell>
          <cell r="W7">
            <v>50</v>
          </cell>
          <cell r="X7">
            <v>50</v>
          </cell>
          <cell r="Y7">
            <v>50</v>
          </cell>
          <cell r="Z7">
            <v>50</v>
          </cell>
          <cell r="AA7">
            <v>50</v>
          </cell>
          <cell r="AB7">
            <v>50</v>
          </cell>
          <cell r="AC7">
            <v>50</v>
          </cell>
          <cell r="AD7">
            <v>50</v>
          </cell>
        </row>
        <row r="8">
          <cell r="T8">
            <v>12</v>
          </cell>
          <cell r="U8">
            <v>24</v>
          </cell>
          <cell r="V8">
            <v>27</v>
          </cell>
          <cell r="W8">
            <v>34</v>
          </cell>
          <cell r="X8">
            <v>38</v>
          </cell>
          <cell r="Y8">
            <v>43</v>
          </cell>
          <cell r="Z8">
            <v>47</v>
          </cell>
          <cell r="AA8">
            <v>45</v>
          </cell>
          <cell r="AB8">
            <v>33</v>
          </cell>
          <cell r="AC8">
            <v>44</v>
          </cell>
          <cell r="AD8">
            <v>33</v>
          </cell>
        </row>
        <row r="9">
          <cell r="U9">
            <v>43</v>
          </cell>
          <cell r="V9">
            <v>50</v>
          </cell>
          <cell r="W9">
            <v>50</v>
          </cell>
          <cell r="X9">
            <v>50</v>
          </cell>
          <cell r="Y9">
            <v>50</v>
          </cell>
          <cell r="Z9">
            <v>50</v>
          </cell>
          <cell r="AA9">
            <v>50</v>
          </cell>
          <cell r="AB9">
            <v>50</v>
          </cell>
          <cell r="AC9">
            <v>50</v>
          </cell>
          <cell r="AD9">
            <v>50</v>
          </cell>
        </row>
        <row r="10">
          <cell r="S10">
            <v>9</v>
          </cell>
          <cell r="T10">
            <v>14</v>
          </cell>
          <cell r="U10">
            <v>48</v>
          </cell>
          <cell r="V10">
            <v>50</v>
          </cell>
          <cell r="W10">
            <v>50</v>
          </cell>
          <cell r="X10">
            <v>50</v>
          </cell>
          <cell r="Y10">
            <v>50</v>
          </cell>
          <cell r="Z10">
            <v>50</v>
          </cell>
          <cell r="AA10">
            <v>50</v>
          </cell>
          <cell r="AB10">
            <v>50</v>
          </cell>
          <cell r="AC10">
            <v>50</v>
          </cell>
          <cell r="AD10">
            <v>50</v>
          </cell>
        </row>
        <row r="11">
          <cell r="U11">
            <v>44</v>
          </cell>
          <cell r="V11">
            <v>43</v>
          </cell>
          <cell r="W11">
            <v>50</v>
          </cell>
          <cell r="X11">
            <v>50</v>
          </cell>
          <cell r="Y11">
            <v>50</v>
          </cell>
          <cell r="Z11">
            <v>50</v>
          </cell>
          <cell r="AA11">
            <v>50</v>
          </cell>
          <cell r="AB11">
            <v>50</v>
          </cell>
          <cell r="AC11">
            <v>50</v>
          </cell>
          <cell r="AD11">
            <v>50</v>
          </cell>
        </row>
        <row r="12">
          <cell r="S12">
            <v>9</v>
          </cell>
          <cell r="T12">
            <v>13</v>
          </cell>
          <cell r="U12">
            <v>11</v>
          </cell>
          <cell r="V12">
            <v>50</v>
          </cell>
          <cell r="W12">
            <v>50</v>
          </cell>
          <cell r="X12">
            <v>50</v>
          </cell>
          <cell r="Y12">
            <v>50</v>
          </cell>
          <cell r="Z12">
            <v>50</v>
          </cell>
          <cell r="AA12">
            <v>50</v>
          </cell>
          <cell r="AB12">
            <v>50</v>
          </cell>
          <cell r="AC12">
            <v>50</v>
          </cell>
          <cell r="AD12">
            <v>31</v>
          </cell>
        </row>
        <row r="13">
          <cell r="V13">
            <v>30</v>
          </cell>
          <cell r="W13">
            <v>37</v>
          </cell>
          <cell r="X13">
            <v>50</v>
          </cell>
          <cell r="Y13">
            <v>50</v>
          </cell>
          <cell r="Z13">
            <v>50</v>
          </cell>
          <cell r="AA13">
            <v>50</v>
          </cell>
          <cell r="AB13">
            <v>48</v>
          </cell>
          <cell r="AC13">
            <v>50</v>
          </cell>
          <cell r="AD13">
            <v>33</v>
          </cell>
        </row>
        <row r="14">
          <cell r="S14">
            <v>17</v>
          </cell>
          <cell r="T14">
            <v>23</v>
          </cell>
          <cell r="U14">
            <v>50</v>
          </cell>
          <cell r="V14">
            <v>50</v>
          </cell>
          <cell r="W14">
            <v>50</v>
          </cell>
          <cell r="X14">
            <v>50</v>
          </cell>
          <cell r="Y14">
            <v>50</v>
          </cell>
          <cell r="Z14">
            <v>50</v>
          </cell>
          <cell r="AA14">
            <v>50</v>
          </cell>
          <cell r="AB14">
            <v>50</v>
          </cell>
          <cell r="AC14">
            <v>50</v>
          </cell>
          <cell r="AD14">
            <v>50</v>
          </cell>
        </row>
        <row r="15">
          <cell r="U15">
            <v>27</v>
          </cell>
          <cell r="V15">
            <v>47</v>
          </cell>
          <cell r="W15">
            <v>50</v>
          </cell>
          <cell r="X15">
            <v>50</v>
          </cell>
          <cell r="Y15">
            <v>50</v>
          </cell>
          <cell r="Z15">
            <v>50</v>
          </cell>
          <cell r="AA15">
            <v>50</v>
          </cell>
          <cell r="AB15">
            <v>34</v>
          </cell>
          <cell r="AC15">
            <v>50</v>
          </cell>
          <cell r="AD15">
            <v>50</v>
          </cell>
        </row>
        <row r="16">
          <cell r="S16">
            <v>33</v>
          </cell>
          <cell r="T16">
            <v>23</v>
          </cell>
          <cell r="U16">
            <v>50</v>
          </cell>
          <cell r="V16">
            <v>50</v>
          </cell>
          <cell r="W16">
            <v>15</v>
          </cell>
          <cell r="X16">
            <v>50</v>
          </cell>
          <cell r="Y16">
            <v>50</v>
          </cell>
          <cell r="Z16">
            <v>50</v>
          </cell>
          <cell r="AA16">
            <v>50</v>
          </cell>
          <cell r="AB16">
            <v>35</v>
          </cell>
          <cell r="AC16">
            <v>21</v>
          </cell>
        </row>
        <row r="17">
          <cell r="T17">
            <v>26</v>
          </cell>
          <cell r="U17">
            <v>50</v>
          </cell>
          <cell r="V17">
            <v>50</v>
          </cell>
          <cell r="W17">
            <v>50</v>
          </cell>
          <cell r="X17">
            <v>50</v>
          </cell>
          <cell r="Y17">
            <v>50</v>
          </cell>
          <cell r="Z17">
            <v>50</v>
          </cell>
          <cell r="AA17">
            <v>50</v>
          </cell>
          <cell r="AB17">
            <v>50</v>
          </cell>
          <cell r="AC17">
            <v>50</v>
          </cell>
          <cell r="AD17">
            <v>50</v>
          </cell>
        </row>
        <row r="18">
          <cell r="U18">
            <v>28</v>
          </cell>
          <cell r="V18">
            <v>45</v>
          </cell>
          <cell r="W18">
            <v>50</v>
          </cell>
          <cell r="X18">
            <v>50</v>
          </cell>
          <cell r="Y18">
            <v>50</v>
          </cell>
          <cell r="Z18">
            <v>50</v>
          </cell>
          <cell r="AA18">
            <v>50</v>
          </cell>
          <cell r="AB18">
            <v>50</v>
          </cell>
          <cell r="AC18">
            <v>50</v>
          </cell>
          <cell r="AD18">
            <v>50</v>
          </cell>
        </row>
        <row r="19">
          <cell r="V19">
            <v>31</v>
          </cell>
          <cell r="W19">
            <v>31</v>
          </cell>
          <cell r="X19">
            <v>50</v>
          </cell>
          <cell r="Y19">
            <v>50</v>
          </cell>
          <cell r="Z19">
            <v>50</v>
          </cell>
          <cell r="AA19">
            <v>50</v>
          </cell>
          <cell r="AB19">
            <v>31</v>
          </cell>
          <cell r="AC19">
            <v>50</v>
          </cell>
          <cell r="AD19">
            <v>50</v>
          </cell>
        </row>
        <row r="20">
          <cell r="S20">
            <v>33</v>
          </cell>
          <cell r="T20">
            <v>29</v>
          </cell>
          <cell r="U20">
            <v>50</v>
          </cell>
          <cell r="V20">
            <v>50</v>
          </cell>
          <cell r="W20">
            <v>50</v>
          </cell>
          <cell r="X20">
            <v>50</v>
          </cell>
          <cell r="Y20">
            <v>50</v>
          </cell>
          <cell r="Z20">
            <v>50</v>
          </cell>
          <cell r="AA20">
            <v>50</v>
          </cell>
          <cell r="AB20">
            <v>50</v>
          </cell>
          <cell r="AC20">
            <v>50</v>
          </cell>
          <cell r="AD20">
            <v>50</v>
          </cell>
        </row>
        <row r="21">
          <cell r="S21">
            <v>11</v>
          </cell>
          <cell r="V21">
            <v>29</v>
          </cell>
          <cell r="W21">
            <v>32</v>
          </cell>
          <cell r="X21">
            <v>50</v>
          </cell>
          <cell r="Y21">
            <v>50</v>
          </cell>
          <cell r="Z21">
            <v>33</v>
          </cell>
          <cell r="AA21">
            <v>50</v>
          </cell>
          <cell r="AB21">
            <v>50</v>
          </cell>
          <cell r="AC21">
            <v>27</v>
          </cell>
          <cell r="AD21">
            <v>24</v>
          </cell>
        </row>
        <row r="22">
          <cell r="U22">
            <v>11</v>
          </cell>
          <cell r="W22">
            <v>33</v>
          </cell>
          <cell r="X22">
            <v>38</v>
          </cell>
          <cell r="Y22">
            <v>50</v>
          </cell>
          <cell r="Z22">
            <v>34</v>
          </cell>
          <cell r="AA22">
            <v>50</v>
          </cell>
          <cell r="AB22">
            <v>29</v>
          </cell>
          <cell r="AC22">
            <v>50</v>
          </cell>
          <cell r="AD22">
            <v>46</v>
          </cell>
        </row>
        <row r="23">
          <cell r="S23">
            <v>14</v>
          </cell>
          <cell r="U23">
            <v>50</v>
          </cell>
          <cell r="V23">
            <v>27</v>
          </cell>
          <cell r="W23">
            <v>50</v>
          </cell>
          <cell r="X23">
            <v>50</v>
          </cell>
          <cell r="Y23">
            <v>50</v>
          </cell>
          <cell r="Z23">
            <v>50</v>
          </cell>
          <cell r="AA23">
            <v>50</v>
          </cell>
          <cell r="AB23">
            <v>50</v>
          </cell>
          <cell r="AC23">
            <v>50</v>
          </cell>
          <cell r="AD23">
            <v>46</v>
          </cell>
        </row>
        <row r="24">
          <cell r="T24">
            <v>7</v>
          </cell>
          <cell r="U24">
            <v>30</v>
          </cell>
          <cell r="V24">
            <v>33</v>
          </cell>
          <cell r="W24">
            <v>50</v>
          </cell>
          <cell r="X24">
            <v>50</v>
          </cell>
          <cell r="Y24">
            <v>50</v>
          </cell>
          <cell r="Z24">
            <v>50</v>
          </cell>
          <cell r="AA24">
            <v>50</v>
          </cell>
          <cell r="AC24">
            <v>44</v>
          </cell>
          <cell r="AD24">
            <v>50</v>
          </cell>
        </row>
        <row r="25">
          <cell r="T25">
            <v>11</v>
          </cell>
          <cell r="U25">
            <v>31</v>
          </cell>
          <cell r="V25">
            <v>29</v>
          </cell>
          <cell r="W25">
            <v>47</v>
          </cell>
          <cell r="X25">
            <v>46</v>
          </cell>
          <cell r="Y25">
            <v>50</v>
          </cell>
          <cell r="Z25">
            <v>50</v>
          </cell>
          <cell r="AA25">
            <v>50</v>
          </cell>
          <cell r="AB25">
            <v>36</v>
          </cell>
          <cell r="AC25">
            <v>50</v>
          </cell>
          <cell r="AD25">
            <v>35</v>
          </cell>
        </row>
        <row r="26">
          <cell r="S26">
            <v>27</v>
          </cell>
          <cell r="T26">
            <v>37</v>
          </cell>
          <cell r="U26">
            <v>50</v>
          </cell>
          <cell r="V26">
            <v>50</v>
          </cell>
          <cell r="W26">
            <v>50</v>
          </cell>
          <cell r="X26">
            <v>50</v>
          </cell>
          <cell r="Y26">
            <v>50</v>
          </cell>
          <cell r="Z26">
            <v>50</v>
          </cell>
          <cell r="AA26">
            <v>50</v>
          </cell>
          <cell r="AB26">
            <v>50</v>
          </cell>
          <cell r="AC26">
            <v>50</v>
          </cell>
          <cell r="AD26">
            <v>50</v>
          </cell>
        </row>
        <row r="27">
          <cell r="S27">
            <v>19</v>
          </cell>
          <cell r="T27">
            <v>31</v>
          </cell>
          <cell r="U27">
            <v>50</v>
          </cell>
          <cell r="V27">
            <v>50</v>
          </cell>
          <cell r="W27">
            <v>50</v>
          </cell>
          <cell r="X27">
            <v>50</v>
          </cell>
          <cell r="Y27">
            <v>50</v>
          </cell>
          <cell r="Z27">
            <v>50</v>
          </cell>
          <cell r="AA27">
            <v>50</v>
          </cell>
          <cell r="AB27">
            <v>50</v>
          </cell>
          <cell r="AC27">
            <v>50</v>
          </cell>
          <cell r="AD27">
            <v>50</v>
          </cell>
        </row>
        <row r="28">
          <cell r="O28">
            <v>39</v>
          </cell>
          <cell r="P28">
            <v>50</v>
          </cell>
          <cell r="Q28">
            <v>50</v>
          </cell>
          <cell r="R28">
            <v>50</v>
          </cell>
          <cell r="S28">
            <v>50</v>
          </cell>
          <cell r="T28">
            <v>50</v>
          </cell>
          <cell r="U28">
            <v>50</v>
          </cell>
          <cell r="V28">
            <v>50</v>
          </cell>
          <cell r="W28">
            <v>50</v>
          </cell>
          <cell r="X28">
            <v>50</v>
          </cell>
          <cell r="Y28">
            <v>50</v>
          </cell>
          <cell r="Z28">
            <v>50</v>
          </cell>
          <cell r="AA28">
            <v>50</v>
          </cell>
        </row>
        <row r="29">
          <cell r="O29">
            <v>50</v>
          </cell>
          <cell r="P29">
            <v>50</v>
          </cell>
          <cell r="Q29">
            <v>50</v>
          </cell>
          <cell r="R29">
            <v>50</v>
          </cell>
          <cell r="S29">
            <v>50</v>
          </cell>
          <cell r="T29">
            <v>50</v>
          </cell>
          <cell r="U29">
            <v>50</v>
          </cell>
          <cell r="V29">
            <v>50</v>
          </cell>
          <cell r="W29">
            <v>50</v>
          </cell>
          <cell r="X29">
            <v>50</v>
          </cell>
          <cell r="Y29">
            <v>50</v>
          </cell>
          <cell r="Z29">
            <v>50</v>
          </cell>
          <cell r="AA29">
            <v>50</v>
          </cell>
        </row>
        <row r="30">
          <cell r="O30">
            <v>38</v>
          </cell>
          <cell r="P30">
            <v>28</v>
          </cell>
          <cell r="Q30">
            <v>50</v>
          </cell>
          <cell r="R30">
            <v>50</v>
          </cell>
          <cell r="S30">
            <v>50</v>
          </cell>
          <cell r="T30">
            <v>50</v>
          </cell>
          <cell r="U30">
            <v>50</v>
          </cell>
          <cell r="V30">
            <v>50</v>
          </cell>
          <cell r="W30">
            <v>50</v>
          </cell>
          <cell r="X30">
            <v>50</v>
          </cell>
          <cell r="Y30">
            <v>50</v>
          </cell>
          <cell r="Z30">
            <v>37</v>
          </cell>
          <cell r="AA30">
            <v>50</v>
          </cell>
        </row>
        <row r="31">
          <cell r="Q31">
            <v>33</v>
          </cell>
          <cell r="R31">
            <v>44</v>
          </cell>
          <cell r="S31">
            <v>50</v>
          </cell>
          <cell r="T31">
            <v>50</v>
          </cell>
          <cell r="U31">
            <v>50</v>
          </cell>
          <cell r="V31">
            <v>50</v>
          </cell>
          <cell r="W31">
            <v>50</v>
          </cell>
          <cell r="X31">
            <v>50</v>
          </cell>
          <cell r="Y31">
            <v>50</v>
          </cell>
          <cell r="Z31">
            <v>31</v>
          </cell>
          <cell r="AA31">
            <v>39</v>
          </cell>
        </row>
        <row r="32">
          <cell r="O32">
            <v>11</v>
          </cell>
          <cell r="P32">
            <v>11</v>
          </cell>
          <cell r="Q32">
            <v>50</v>
          </cell>
          <cell r="R32">
            <v>50</v>
          </cell>
          <cell r="S32">
            <v>50</v>
          </cell>
          <cell r="T32">
            <v>50</v>
          </cell>
          <cell r="U32">
            <v>50</v>
          </cell>
          <cell r="V32">
            <v>50</v>
          </cell>
          <cell r="W32">
            <v>50</v>
          </cell>
          <cell r="X32">
            <v>50</v>
          </cell>
          <cell r="Y32">
            <v>50</v>
          </cell>
          <cell r="Z32">
            <v>50</v>
          </cell>
          <cell r="AA32">
            <v>50</v>
          </cell>
        </row>
        <row r="33">
          <cell r="P33">
            <v>25</v>
          </cell>
          <cell r="Q33">
            <v>50</v>
          </cell>
          <cell r="R33">
            <v>50</v>
          </cell>
          <cell r="S33">
            <v>50</v>
          </cell>
          <cell r="T33">
            <v>50</v>
          </cell>
          <cell r="U33">
            <v>50</v>
          </cell>
          <cell r="V33">
            <v>30</v>
          </cell>
          <cell r="W33">
            <v>29</v>
          </cell>
          <cell r="X33">
            <v>30</v>
          </cell>
          <cell r="Y33">
            <v>21</v>
          </cell>
          <cell r="Z33">
            <v>21</v>
          </cell>
          <cell r="AA33">
            <v>27</v>
          </cell>
        </row>
        <row r="34">
          <cell r="O34">
            <v>7</v>
          </cell>
          <cell r="Q34">
            <v>29</v>
          </cell>
          <cell r="R34">
            <v>36</v>
          </cell>
          <cell r="S34">
            <v>50</v>
          </cell>
          <cell r="T34">
            <v>50</v>
          </cell>
          <cell r="U34">
            <v>50</v>
          </cell>
          <cell r="V34">
            <v>50</v>
          </cell>
          <cell r="W34">
            <v>50</v>
          </cell>
          <cell r="X34">
            <v>47</v>
          </cell>
          <cell r="Y34">
            <v>41</v>
          </cell>
          <cell r="Z34">
            <v>13</v>
          </cell>
          <cell r="AA34">
            <v>24</v>
          </cell>
        </row>
        <row r="35">
          <cell r="P35">
            <v>8</v>
          </cell>
          <cell r="Q35">
            <v>13</v>
          </cell>
          <cell r="R35">
            <v>21</v>
          </cell>
          <cell r="S35">
            <v>31</v>
          </cell>
          <cell r="T35">
            <v>33</v>
          </cell>
          <cell r="U35">
            <v>50</v>
          </cell>
          <cell r="V35">
            <v>50</v>
          </cell>
          <cell r="W35">
            <v>50</v>
          </cell>
          <cell r="X35">
            <v>50</v>
          </cell>
          <cell r="Y35">
            <v>50</v>
          </cell>
          <cell r="Z35">
            <v>50</v>
          </cell>
          <cell r="AA35">
            <v>50</v>
          </cell>
        </row>
        <row r="36">
          <cell r="Q36">
            <v>34</v>
          </cell>
          <cell r="R36">
            <v>39</v>
          </cell>
          <cell r="S36">
            <v>50</v>
          </cell>
          <cell r="T36">
            <v>50</v>
          </cell>
          <cell r="U36">
            <v>50</v>
          </cell>
          <cell r="V36">
            <v>50</v>
          </cell>
          <cell r="W36">
            <v>50</v>
          </cell>
          <cell r="X36">
            <v>50</v>
          </cell>
          <cell r="Y36">
            <v>46</v>
          </cell>
          <cell r="Z36">
            <v>19</v>
          </cell>
          <cell r="AA36">
            <v>32</v>
          </cell>
        </row>
        <row r="37">
          <cell r="Q37">
            <v>28</v>
          </cell>
          <cell r="R37">
            <v>33</v>
          </cell>
          <cell r="S37">
            <v>46</v>
          </cell>
          <cell r="T37">
            <v>50</v>
          </cell>
          <cell r="U37">
            <v>50</v>
          </cell>
          <cell r="V37">
            <v>50</v>
          </cell>
          <cell r="W37">
            <v>50</v>
          </cell>
          <cell r="X37">
            <v>50</v>
          </cell>
          <cell r="Y37">
            <v>50</v>
          </cell>
          <cell r="Z37">
            <v>17</v>
          </cell>
          <cell r="AA37">
            <v>31</v>
          </cell>
        </row>
        <row r="38">
          <cell r="Q38">
            <v>43</v>
          </cell>
          <cell r="R38">
            <v>50</v>
          </cell>
          <cell r="S38">
            <v>50</v>
          </cell>
          <cell r="T38">
            <v>50</v>
          </cell>
          <cell r="U38">
            <v>50</v>
          </cell>
          <cell r="V38">
            <v>50</v>
          </cell>
          <cell r="W38">
            <v>50</v>
          </cell>
          <cell r="X38">
            <v>50</v>
          </cell>
          <cell r="Y38">
            <v>50</v>
          </cell>
          <cell r="Z38">
            <v>31</v>
          </cell>
          <cell r="AA38">
            <v>43</v>
          </cell>
        </row>
        <row r="39">
          <cell r="Q39">
            <v>35</v>
          </cell>
          <cell r="R39">
            <v>44</v>
          </cell>
          <cell r="S39">
            <v>50</v>
          </cell>
          <cell r="T39">
            <v>50</v>
          </cell>
          <cell r="U39">
            <v>50</v>
          </cell>
          <cell r="V39">
            <v>50</v>
          </cell>
          <cell r="W39">
            <v>50</v>
          </cell>
          <cell r="X39">
            <v>50</v>
          </cell>
          <cell r="Y39">
            <v>50</v>
          </cell>
          <cell r="Z39">
            <v>29</v>
          </cell>
          <cell r="AA39">
            <v>50</v>
          </cell>
        </row>
        <row r="40">
          <cell r="O40">
            <v>18</v>
          </cell>
          <cell r="P40">
            <v>15</v>
          </cell>
          <cell r="Q40">
            <v>27</v>
          </cell>
          <cell r="R40">
            <v>43</v>
          </cell>
          <cell r="S40">
            <v>50</v>
          </cell>
          <cell r="T40">
            <v>50</v>
          </cell>
          <cell r="U40">
            <v>50</v>
          </cell>
          <cell r="V40">
            <v>50</v>
          </cell>
          <cell r="W40">
            <v>50</v>
          </cell>
          <cell r="X40">
            <v>50</v>
          </cell>
          <cell r="Y40">
            <v>50</v>
          </cell>
          <cell r="Z40">
            <v>32</v>
          </cell>
          <cell r="AA40">
            <v>42</v>
          </cell>
        </row>
        <row r="41">
          <cell r="O41">
            <v>15</v>
          </cell>
          <cell r="P41">
            <v>19</v>
          </cell>
          <cell r="Q41">
            <v>50</v>
          </cell>
          <cell r="R41">
            <v>50</v>
          </cell>
          <cell r="S41">
            <v>50</v>
          </cell>
          <cell r="T41">
            <v>50</v>
          </cell>
          <cell r="U41">
            <v>50</v>
          </cell>
          <cell r="V41">
            <v>50</v>
          </cell>
          <cell r="W41">
            <v>50</v>
          </cell>
          <cell r="X41">
            <v>50</v>
          </cell>
          <cell r="Y41">
            <v>50</v>
          </cell>
          <cell r="Z41">
            <v>50</v>
          </cell>
          <cell r="AA41">
            <v>50</v>
          </cell>
          <cell r="AC41">
            <v>33</v>
          </cell>
        </row>
        <row r="42">
          <cell r="O42">
            <v>7</v>
          </cell>
          <cell r="P42">
            <v>7</v>
          </cell>
          <cell r="Q42">
            <v>25</v>
          </cell>
          <cell r="R42">
            <v>39</v>
          </cell>
          <cell r="S42">
            <v>50</v>
          </cell>
          <cell r="T42">
            <v>50</v>
          </cell>
          <cell r="U42">
            <v>50</v>
          </cell>
          <cell r="V42">
            <v>50</v>
          </cell>
          <cell r="W42">
            <v>50</v>
          </cell>
          <cell r="X42">
            <v>50</v>
          </cell>
          <cell r="Y42">
            <v>50</v>
          </cell>
          <cell r="Z42">
            <v>18</v>
          </cell>
          <cell r="AA42">
            <v>33</v>
          </cell>
          <cell r="AC42">
            <v>9</v>
          </cell>
        </row>
        <row r="43">
          <cell r="O43">
            <v>13</v>
          </cell>
          <cell r="P43">
            <v>17</v>
          </cell>
          <cell r="Q43">
            <v>50</v>
          </cell>
          <cell r="R43">
            <v>50</v>
          </cell>
          <cell r="S43">
            <v>50</v>
          </cell>
          <cell r="T43">
            <v>50</v>
          </cell>
          <cell r="U43">
            <v>50</v>
          </cell>
          <cell r="V43">
            <v>50</v>
          </cell>
          <cell r="W43">
            <v>50</v>
          </cell>
          <cell r="X43">
            <v>50</v>
          </cell>
          <cell r="Y43">
            <v>50</v>
          </cell>
          <cell r="Z43">
            <v>50</v>
          </cell>
          <cell r="AA43">
            <v>50</v>
          </cell>
          <cell r="AC43">
            <v>24</v>
          </cell>
        </row>
        <row r="44">
          <cell r="O44">
            <v>7</v>
          </cell>
          <cell r="P44">
            <v>11</v>
          </cell>
          <cell r="R44">
            <v>13</v>
          </cell>
          <cell r="S44">
            <v>50</v>
          </cell>
          <cell r="T44">
            <v>50</v>
          </cell>
          <cell r="U44">
            <v>50</v>
          </cell>
          <cell r="V44">
            <v>50</v>
          </cell>
          <cell r="W44">
            <v>31</v>
          </cell>
          <cell r="X44">
            <v>27</v>
          </cell>
          <cell r="Y44">
            <v>50</v>
          </cell>
          <cell r="Z44">
            <v>31</v>
          </cell>
          <cell r="AA44">
            <v>50</v>
          </cell>
          <cell r="AC44">
            <v>50</v>
          </cell>
        </row>
        <row r="45">
          <cell r="O45">
            <v>7</v>
          </cell>
          <cell r="Q45">
            <v>31</v>
          </cell>
          <cell r="R45">
            <v>49</v>
          </cell>
          <cell r="S45">
            <v>50</v>
          </cell>
          <cell r="T45">
            <v>50</v>
          </cell>
          <cell r="U45">
            <v>50</v>
          </cell>
          <cell r="V45">
            <v>50</v>
          </cell>
          <cell r="W45">
            <v>50</v>
          </cell>
          <cell r="X45">
            <v>50</v>
          </cell>
          <cell r="Y45">
            <v>50</v>
          </cell>
          <cell r="Z45">
            <v>27</v>
          </cell>
          <cell r="AA45">
            <v>8</v>
          </cell>
          <cell r="AC45">
            <v>9</v>
          </cell>
        </row>
        <row r="46">
          <cell r="Q46">
            <v>9</v>
          </cell>
          <cell r="R46">
            <v>23</v>
          </cell>
          <cell r="S46">
            <v>50</v>
          </cell>
          <cell r="T46">
            <v>50</v>
          </cell>
          <cell r="U46">
            <v>50</v>
          </cell>
          <cell r="V46">
            <v>50</v>
          </cell>
          <cell r="W46">
            <v>50</v>
          </cell>
          <cell r="X46">
            <v>50</v>
          </cell>
          <cell r="Y46">
            <v>50</v>
          </cell>
          <cell r="Z46">
            <v>43</v>
          </cell>
          <cell r="AA46">
            <v>46</v>
          </cell>
          <cell r="AC46">
            <v>29</v>
          </cell>
        </row>
        <row r="47">
          <cell r="Q47">
            <v>8</v>
          </cell>
          <cell r="R47">
            <v>43</v>
          </cell>
          <cell r="S47">
            <v>50</v>
          </cell>
          <cell r="T47">
            <v>50</v>
          </cell>
          <cell r="U47">
            <v>50</v>
          </cell>
          <cell r="V47">
            <v>50</v>
          </cell>
          <cell r="W47">
            <v>50</v>
          </cell>
          <cell r="X47">
            <v>50</v>
          </cell>
          <cell r="Y47">
            <v>50</v>
          </cell>
          <cell r="Z47">
            <v>28</v>
          </cell>
          <cell r="AA47">
            <v>28</v>
          </cell>
        </row>
        <row r="48">
          <cell r="O48">
            <v>48</v>
          </cell>
          <cell r="Q48">
            <v>7</v>
          </cell>
          <cell r="R48">
            <v>16</v>
          </cell>
          <cell r="S48">
            <v>23</v>
          </cell>
          <cell r="T48">
            <v>9</v>
          </cell>
          <cell r="U48">
            <v>30</v>
          </cell>
          <cell r="V48">
            <v>30</v>
          </cell>
          <cell r="W48">
            <v>25</v>
          </cell>
          <cell r="X48">
            <v>23</v>
          </cell>
          <cell r="Y48">
            <v>17</v>
          </cell>
          <cell r="Z48">
            <v>13</v>
          </cell>
          <cell r="AA48">
            <v>8</v>
          </cell>
        </row>
        <row r="49">
          <cell r="Q49">
            <v>16</v>
          </cell>
          <cell r="R49">
            <v>21</v>
          </cell>
          <cell r="S49">
            <v>38</v>
          </cell>
          <cell r="T49">
            <v>31</v>
          </cell>
          <cell r="U49">
            <v>43</v>
          </cell>
          <cell r="V49">
            <v>35</v>
          </cell>
          <cell r="W49">
            <v>40</v>
          </cell>
          <cell r="X49">
            <v>32</v>
          </cell>
          <cell r="Y49">
            <v>33</v>
          </cell>
          <cell r="Z49">
            <v>12</v>
          </cell>
          <cell r="AA49">
            <v>18</v>
          </cell>
        </row>
        <row r="50">
          <cell r="O50">
            <v>15</v>
          </cell>
          <cell r="P50">
            <v>28</v>
          </cell>
          <cell r="Q50">
            <v>46</v>
          </cell>
          <cell r="R50">
            <v>50</v>
          </cell>
          <cell r="S50">
            <v>50</v>
          </cell>
          <cell r="T50">
            <v>50</v>
          </cell>
          <cell r="U50">
            <v>50</v>
          </cell>
          <cell r="V50">
            <v>50</v>
          </cell>
          <cell r="W50">
            <v>50</v>
          </cell>
          <cell r="X50">
            <v>50</v>
          </cell>
          <cell r="Y50">
            <v>50</v>
          </cell>
          <cell r="Z50">
            <v>50</v>
          </cell>
          <cell r="AA50">
            <v>50</v>
          </cell>
          <cell r="AC50">
            <v>30</v>
          </cell>
        </row>
        <row r="51">
          <cell r="O51">
            <v>15</v>
          </cell>
          <cell r="P51">
            <v>17</v>
          </cell>
          <cell r="Q51">
            <v>44</v>
          </cell>
          <cell r="R51">
            <v>38</v>
          </cell>
          <cell r="S51">
            <v>50</v>
          </cell>
          <cell r="T51">
            <v>50</v>
          </cell>
          <cell r="U51">
            <v>50</v>
          </cell>
          <cell r="V51">
            <v>50</v>
          </cell>
          <cell r="W51">
            <v>50</v>
          </cell>
          <cell r="X51">
            <v>50</v>
          </cell>
          <cell r="Y51">
            <v>50</v>
          </cell>
          <cell r="Z51">
            <v>24</v>
          </cell>
          <cell r="AA51">
            <v>50</v>
          </cell>
        </row>
        <row r="52">
          <cell r="O52">
            <v>15</v>
          </cell>
          <cell r="P52">
            <v>14</v>
          </cell>
          <cell r="Q52">
            <v>39</v>
          </cell>
          <cell r="R52">
            <v>32</v>
          </cell>
          <cell r="S52">
            <v>50</v>
          </cell>
          <cell r="T52">
            <v>50</v>
          </cell>
          <cell r="U52">
            <v>50</v>
          </cell>
          <cell r="V52">
            <v>50</v>
          </cell>
          <cell r="W52">
            <v>50</v>
          </cell>
          <cell r="X52">
            <v>50</v>
          </cell>
          <cell r="Y52">
            <v>50</v>
          </cell>
          <cell r="Z52">
            <v>29</v>
          </cell>
          <cell r="AA52">
            <v>50</v>
          </cell>
        </row>
        <row r="53">
          <cell r="O53">
            <v>28</v>
          </cell>
          <cell r="P53">
            <v>45</v>
          </cell>
          <cell r="Q53">
            <v>50</v>
          </cell>
          <cell r="R53">
            <v>46</v>
          </cell>
          <cell r="S53">
            <v>50</v>
          </cell>
          <cell r="T53">
            <v>50</v>
          </cell>
          <cell r="U53">
            <v>50</v>
          </cell>
          <cell r="V53">
            <v>29</v>
          </cell>
          <cell r="X53">
            <v>7</v>
          </cell>
        </row>
        <row r="54">
          <cell r="Q54">
            <v>40</v>
          </cell>
          <cell r="R54">
            <v>50</v>
          </cell>
          <cell r="S54">
            <v>50</v>
          </cell>
          <cell r="T54">
            <v>50</v>
          </cell>
          <cell r="U54">
            <v>39</v>
          </cell>
          <cell r="V54">
            <v>50</v>
          </cell>
          <cell r="W54">
            <v>50</v>
          </cell>
          <cell r="X54">
            <v>50</v>
          </cell>
          <cell r="Y54">
            <v>50</v>
          </cell>
        </row>
        <row r="55">
          <cell r="O55">
            <v>9</v>
          </cell>
          <cell r="P55">
            <v>17</v>
          </cell>
          <cell r="Q55">
            <v>50</v>
          </cell>
          <cell r="R55">
            <v>37</v>
          </cell>
          <cell r="S55">
            <v>50</v>
          </cell>
          <cell r="T55">
            <v>50</v>
          </cell>
          <cell r="U55">
            <v>50</v>
          </cell>
          <cell r="V55">
            <v>50</v>
          </cell>
          <cell r="W55">
            <v>50</v>
          </cell>
          <cell r="X55">
            <v>50</v>
          </cell>
          <cell r="Y55">
            <v>50</v>
          </cell>
        </row>
        <row r="56">
          <cell r="O56">
            <v>11</v>
          </cell>
          <cell r="P56">
            <v>21</v>
          </cell>
          <cell r="Q56">
            <v>50</v>
          </cell>
          <cell r="R56">
            <v>50</v>
          </cell>
          <cell r="S56">
            <v>50</v>
          </cell>
          <cell r="T56">
            <v>50</v>
          </cell>
          <cell r="U56">
            <v>50</v>
          </cell>
          <cell r="V56">
            <v>50</v>
          </cell>
          <cell r="W56">
            <v>50</v>
          </cell>
          <cell r="X56">
            <v>50</v>
          </cell>
          <cell r="Y56">
            <v>50</v>
          </cell>
          <cell r="Z56">
            <v>30</v>
          </cell>
          <cell r="AA56">
            <v>50</v>
          </cell>
          <cell r="AC56">
            <v>19</v>
          </cell>
        </row>
        <row r="57">
          <cell r="O57">
            <v>9</v>
          </cell>
          <cell r="P57">
            <v>19</v>
          </cell>
          <cell r="Q57">
            <v>50</v>
          </cell>
          <cell r="R57">
            <v>50</v>
          </cell>
          <cell r="S57">
            <v>50</v>
          </cell>
          <cell r="T57">
            <v>50</v>
          </cell>
          <cell r="U57">
            <v>50</v>
          </cell>
          <cell r="V57">
            <v>50</v>
          </cell>
          <cell r="W57">
            <v>50</v>
          </cell>
          <cell r="X57">
            <v>50</v>
          </cell>
          <cell r="Y57">
            <v>50</v>
          </cell>
          <cell r="Z57">
            <v>34</v>
          </cell>
          <cell r="AA57">
            <v>50</v>
          </cell>
          <cell r="AC57">
            <v>21</v>
          </cell>
        </row>
        <row r="58">
          <cell r="U58">
            <v>50</v>
          </cell>
          <cell r="W58">
            <v>50</v>
          </cell>
          <cell r="Y58">
            <v>50</v>
          </cell>
          <cell r="AA58">
            <v>50</v>
          </cell>
          <cell r="AC58">
            <v>50</v>
          </cell>
          <cell r="AD58">
            <v>50</v>
          </cell>
        </row>
        <row r="59">
          <cell r="U59">
            <v>38</v>
          </cell>
          <cell r="W59">
            <v>50</v>
          </cell>
          <cell r="Y59">
            <v>50</v>
          </cell>
          <cell r="AA59">
            <v>50</v>
          </cell>
          <cell r="AC59">
            <v>50</v>
          </cell>
          <cell r="AD59">
            <v>50</v>
          </cell>
        </row>
        <row r="60">
          <cell r="U60">
            <v>41</v>
          </cell>
          <cell r="W60">
            <v>49</v>
          </cell>
          <cell r="Y60">
            <v>50</v>
          </cell>
          <cell r="AA60">
            <v>50</v>
          </cell>
          <cell r="AC60">
            <v>50</v>
          </cell>
          <cell r="AD60">
            <v>50</v>
          </cell>
        </row>
        <row r="61">
          <cell r="U61">
            <v>50</v>
          </cell>
          <cell r="W61">
            <v>50</v>
          </cell>
          <cell r="Y61">
            <v>50</v>
          </cell>
          <cell r="AA61">
            <v>50</v>
          </cell>
          <cell r="AC61">
            <v>50</v>
          </cell>
          <cell r="AD61">
            <v>50</v>
          </cell>
        </row>
        <row r="62">
          <cell r="U62">
            <v>50</v>
          </cell>
          <cell r="W62">
            <v>50</v>
          </cell>
          <cell r="Y62">
            <v>50</v>
          </cell>
          <cell r="AA62">
            <v>50</v>
          </cell>
          <cell r="AC62">
            <v>50</v>
          </cell>
          <cell r="AD62">
            <v>50</v>
          </cell>
        </row>
        <row r="63">
          <cell r="U63">
            <v>44</v>
          </cell>
          <cell r="W63">
            <v>44</v>
          </cell>
          <cell r="Y63">
            <v>46</v>
          </cell>
          <cell r="AA63">
            <v>50</v>
          </cell>
          <cell r="AC63">
            <v>50</v>
          </cell>
          <cell r="AD63">
            <v>50</v>
          </cell>
        </row>
        <row r="64">
          <cell r="U64">
            <v>47</v>
          </cell>
          <cell r="W64">
            <v>50</v>
          </cell>
          <cell r="Y64">
            <v>50</v>
          </cell>
          <cell r="AA64">
            <v>50</v>
          </cell>
          <cell r="AC64">
            <v>50</v>
          </cell>
          <cell r="AD64">
            <v>50</v>
          </cell>
        </row>
        <row r="65">
          <cell r="U65">
            <v>50</v>
          </cell>
          <cell r="W65">
            <v>50</v>
          </cell>
          <cell r="Y65">
            <v>50</v>
          </cell>
          <cell r="AA65">
            <v>50</v>
          </cell>
          <cell r="AC65">
            <v>50</v>
          </cell>
          <cell r="AD65">
            <v>50</v>
          </cell>
        </row>
        <row r="66">
          <cell r="U66">
            <v>50</v>
          </cell>
          <cell r="W66">
            <v>50</v>
          </cell>
          <cell r="Y66">
            <v>50</v>
          </cell>
          <cell r="AA66">
            <v>50</v>
          </cell>
          <cell r="AC66">
            <v>50</v>
          </cell>
          <cell r="AD66">
            <v>50</v>
          </cell>
        </row>
        <row r="67">
          <cell r="U67">
            <v>39</v>
          </cell>
          <cell r="W67">
            <v>48</v>
          </cell>
          <cell r="Y67">
            <v>50</v>
          </cell>
          <cell r="AA67">
            <v>50</v>
          </cell>
          <cell r="AC67">
            <v>50</v>
          </cell>
          <cell r="AD67">
            <v>50</v>
          </cell>
        </row>
        <row r="68">
          <cell r="U68">
            <v>50</v>
          </cell>
          <cell r="W68">
            <v>50</v>
          </cell>
          <cell r="Y68">
            <v>50</v>
          </cell>
          <cell r="AA68">
            <v>50</v>
          </cell>
          <cell r="AC68">
            <v>50</v>
          </cell>
          <cell r="AD68">
            <v>50</v>
          </cell>
        </row>
        <row r="69">
          <cell r="U69">
            <v>50</v>
          </cell>
          <cell r="W69">
            <v>50</v>
          </cell>
          <cell r="Y69">
            <v>50</v>
          </cell>
          <cell r="AA69">
            <v>50</v>
          </cell>
          <cell r="AC69">
            <v>50</v>
          </cell>
          <cell r="AD69">
            <v>50</v>
          </cell>
        </row>
        <row r="70">
          <cell r="K70">
            <v>50</v>
          </cell>
          <cell r="L70">
            <v>50</v>
          </cell>
          <cell r="M70">
            <v>50</v>
          </cell>
          <cell r="N70">
            <v>50</v>
          </cell>
          <cell r="O70">
            <v>50</v>
          </cell>
          <cell r="Q70">
            <v>50</v>
          </cell>
          <cell r="S70">
            <v>50</v>
          </cell>
        </row>
        <row r="71">
          <cell r="K71">
            <v>42</v>
          </cell>
          <cell r="L71">
            <v>50</v>
          </cell>
          <cell r="M71">
            <v>23</v>
          </cell>
          <cell r="N71">
            <v>25</v>
          </cell>
          <cell r="O71">
            <v>34</v>
          </cell>
          <cell r="S71">
            <v>38</v>
          </cell>
        </row>
        <row r="72">
          <cell r="K72">
            <v>50</v>
          </cell>
          <cell r="L72">
            <v>46</v>
          </cell>
          <cell r="M72">
            <v>46</v>
          </cell>
          <cell r="N72">
            <v>47</v>
          </cell>
          <cell r="O72">
            <v>43</v>
          </cell>
          <cell r="Q72">
            <v>37</v>
          </cell>
          <cell r="S72">
            <v>29</v>
          </cell>
        </row>
        <row r="73">
          <cell r="K73">
            <v>50</v>
          </cell>
          <cell r="L73">
            <v>50</v>
          </cell>
          <cell r="M73">
            <v>50</v>
          </cell>
          <cell r="N73">
            <v>50</v>
          </cell>
          <cell r="O73">
            <v>50</v>
          </cell>
          <cell r="Q73">
            <v>50</v>
          </cell>
          <cell r="S73">
            <v>48</v>
          </cell>
        </row>
        <row r="74">
          <cell r="K74">
            <v>50</v>
          </cell>
          <cell r="L74">
            <v>50</v>
          </cell>
          <cell r="M74">
            <v>50</v>
          </cell>
          <cell r="N74">
            <v>50</v>
          </cell>
          <cell r="O74">
            <v>50</v>
          </cell>
          <cell r="Q74">
            <v>50</v>
          </cell>
          <cell r="S74">
            <v>50</v>
          </cell>
        </row>
        <row r="75">
          <cell r="L75">
            <v>41</v>
          </cell>
          <cell r="M75">
            <v>50</v>
          </cell>
          <cell r="N75">
            <v>50</v>
          </cell>
          <cell r="O75">
            <v>50</v>
          </cell>
          <cell r="Q75">
            <v>50</v>
          </cell>
          <cell r="S75">
            <v>50</v>
          </cell>
        </row>
        <row r="76">
          <cell r="K76">
            <v>29</v>
          </cell>
          <cell r="L76">
            <v>50</v>
          </cell>
          <cell r="M76">
            <v>50</v>
          </cell>
          <cell r="N76">
            <v>50</v>
          </cell>
          <cell r="O76">
            <v>50</v>
          </cell>
          <cell r="Q76">
            <v>50</v>
          </cell>
          <cell r="S76">
            <v>50</v>
          </cell>
        </row>
        <row r="77">
          <cell r="M77">
            <v>20</v>
          </cell>
          <cell r="N77">
            <v>50</v>
          </cell>
          <cell r="O77">
            <v>50</v>
          </cell>
          <cell r="Q77">
            <v>50</v>
          </cell>
          <cell r="S77">
            <v>45</v>
          </cell>
        </row>
        <row r="78">
          <cell r="L78">
            <v>31</v>
          </cell>
          <cell r="M78">
            <v>21</v>
          </cell>
          <cell r="N78">
            <v>50</v>
          </cell>
          <cell r="O78">
            <v>50</v>
          </cell>
          <cell r="Q78">
            <v>50</v>
          </cell>
          <cell r="S78">
            <v>40</v>
          </cell>
        </row>
        <row r="79">
          <cell r="N79">
            <v>41</v>
          </cell>
          <cell r="O79">
            <v>50</v>
          </cell>
          <cell r="Q79">
            <v>50</v>
          </cell>
          <cell r="S79">
            <v>50</v>
          </cell>
        </row>
        <row r="80">
          <cell r="N80">
            <v>50</v>
          </cell>
          <cell r="O80">
            <v>50</v>
          </cell>
          <cell r="Q80">
            <v>50</v>
          </cell>
          <cell r="S80">
            <v>50</v>
          </cell>
        </row>
        <row r="81">
          <cell r="N81">
            <v>50</v>
          </cell>
          <cell r="O81">
            <v>50</v>
          </cell>
          <cell r="Q81">
            <v>50</v>
          </cell>
          <cell r="S81">
            <v>50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6163E-F46D-4258-B669-B2A04B491D81}">
  <sheetPr filterMode="1"/>
  <dimension ref="A1:AK84"/>
  <sheetViews>
    <sheetView tabSelected="1" zoomScale="85" zoomScaleNormal="85" workbookViewId="0">
      <pane xSplit="7" ySplit="1" topLeftCell="H2" activePane="bottomRight" state="frozen"/>
      <selection pane="topRight" activeCell="I1" sqref="I1"/>
      <selection pane="bottomLeft" activeCell="A2" sqref="A2"/>
      <selection pane="bottomRight" sqref="A1:A1048576"/>
    </sheetView>
  </sheetViews>
  <sheetFormatPr baseColWidth="10" defaultColWidth="8.5703125" defaultRowHeight="15" x14ac:dyDescent="0.25"/>
  <cols>
    <col min="1" max="1" width="16.140625" customWidth="1"/>
    <col min="2" max="2" width="11" customWidth="1"/>
    <col min="3" max="3" width="10" customWidth="1"/>
    <col min="4" max="4" width="22" customWidth="1"/>
    <col min="5" max="5" width="9" customWidth="1"/>
    <col min="6" max="6" width="26" customWidth="1"/>
    <col min="7" max="7" width="20" customWidth="1"/>
    <col min="8" max="8" width="10" customWidth="1"/>
    <col min="9" max="9" width="9" customWidth="1"/>
    <col min="10" max="10" width="12" customWidth="1"/>
    <col min="11" max="11" width="7" customWidth="1"/>
    <col min="12" max="31" width="4.42578125" customWidth="1"/>
    <col min="32" max="32" width="8" customWidth="1"/>
    <col min="33" max="33" width="9" customWidth="1"/>
    <col min="34" max="34" width="10" customWidth="1"/>
    <col min="35" max="35" width="14.42578125" customWidth="1"/>
  </cols>
  <sheetData>
    <row r="1" spans="1:3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ht="48.95" customHeight="1" x14ac:dyDescent="0.25">
      <c r="A2" s="3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5">
        <v>35</v>
      </c>
      <c r="I2" s="6">
        <v>135</v>
      </c>
      <c r="J2" s="7">
        <f>ROUND(I2*[1]Parametros!$B$10,-3)</f>
        <v>482000</v>
      </c>
      <c r="K2" s="8">
        <v>1</v>
      </c>
      <c r="L2" s="9" t="str">
        <f>IF(MIN(N(INDEX([1]Parametros!B$16:B$20,MATCH($C2,[1]Parametros!$A$16:$A$20,0)))*$K2,N('[1]ATS USA'!K2))&lt;=0,"",MIN(N(INDEX([1]Parametros!B$16:B$20,MATCH($C2,[1]Parametros!$A$16:$A$20,0)))*$K2,N('[1]ATS USA'!K2)))</f>
        <v/>
      </c>
      <c r="M2" s="9" t="str">
        <f>IF(MIN(N(INDEX([1]Parametros!C$16:C$20,MATCH($C2,[1]Parametros!$A$16:$A$20,0)))*$K2,N('[1]ATS USA'!L2))&lt;=0,"",MIN(N(INDEX([1]Parametros!C$16:C$20,MATCH($C2,[1]Parametros!$A$16:$A$20,0)))*$K2,N('[1]ATS USA'!L2)))</f>
        <v/>
      </c>
      <c r="N2" s="9" t="str">
        <f>IF(MIN(N(INDEX([1]Parametros!D$16:D$20,MATCH($C2,[1]Parametros!$A$16:$A$20,0)))*$K2,N('[1]ATS USA'!M2))&lt;=0,"",MIN(N(INDEX([1]Parametros!D$16:D$20,MATCH($C2,[1]Parametros!$A$16:$A$20,0)))*$K2,N('[1]ATS USA'!M2)))</f>
        <v/>
      </c>
      <c r="O2" s="9" t="str">
        <f>IF(MIN(N(INDEX([1]Parametros!E$16:E$20,MATCH($C2,[1]Parametros!$A$16:$A$20,0)))*$K2,N('[1]ATS USA'!N2))&lt;=0,"",MIN(N(INDEX([1]Parametros!E$16:E$20,MATCH($C2,[1]Parametros!$A$16:$A$20,0)))*$K2,N('[1]ATS USA'!N2)))</f>
        <v/>
      </c>
      <c r="P2" s="9" t="str">
        <f>IF(MIN(N(INDEX([1]Parametros!F$16:F$20,MATCH($C2,[1]Parametros!$A$16:$A$20,0)))*$K2,N('[1]ATS USA'!O2))&lt;=0,"",MIN(N(INDEX([1]Parametros!F$16:F$20,MATCH($C2,[1]Parametros!$A$16:$A$20,0)))*$K2,N('[1]ATS USA'!O2)))</f>
        <v/>
      </c>
      <c r="Q2" s="9" t="str">
        <f>IF(MIN(N(INDEX([1]Parametros!G$16:G$20,MATCH($C2,[1]Parametros!$A$16:$A$20,0)))*$K2,N('[1]ATS USA'!P2))&lt;=0,"",MIN(N(INDEX([1]Parametros!G$16:G$20,MATCH($C2,[1]Parametros!$A$16:$A$20,0)))*$K2,N('[1]ATS USA'!P2)))</f>
        <v/>
      </c>
      <c r="R2" s="9" t="str">
        <f>IF(MIN(N(INDEX([1]Parametros!H$16:H$20,MATCH($C2,[1]Parametros!$A$16:$A$20,0)))*$K2,N('[1]ATS USA'!Q2))&lt;=0,"",MIN(N(INDEX([1]Parametros!H$16:H$20,MATCH($C2,[1]Parametros!$A$16:$A$20,0)))*$K2,N('[1]ATS USA'!Q2)))</f>
        <v/>
      </c>
      <c r="S2" s="9" t="str">
        <f>IF(MIN(N(INDEX([1]Parametros!I$16:I$20,MATCH($C2,[1]Parametros!$A$16:$A$20,0)))*$K2,N('[1]ATS USA'!R2))&lt;=0,"",MIN(N(INDEX([1]Parametros!I$16:I$20,MATCH($C2,[1]Parametros!$A$16:$A$20,0)))*$K2,N('[1]ATS USA'!R2)))</f>
        <v/>
      </c>
      <c r="T2" s="10">
        <f>IF(MIN(N(INDEX([1]Parametros!J$16:J$20,MATCH($C2,[1]Parametros!$A$16:$A$20,0)))*$K2,N('[1]ATS USA'!S2))&lt;=0,"",MIN(N(INDEX([1]Parametros!J$16:J$20,MATCH($C2,[1]Parametros!$A$16:$A$20,0)))*$K2,N('[1]ATS USA'!S2)))</f>
        <v>1</v>
      </c>
      <c r="U2" s="9">
        <f>IF(MIN(N(INDEX([1]Parametros!K$16:K$20,MATCH($C2,[1]Parametros!$A$16:$A$20,0)))*$K2,N('[1]ATS USA'!T2))&lt;=0,"",MIN(N(INDEX([1]Parametros!K$16:K$20,MATCH($C2,[1]Parametros!$A$16:$A$20,0)))*$K2,N('[1]ATS USA'!T2)))</f>
        <v>1</v>
      </c>
      <c r="V2" s="10">
        <f>IF(MIN(N(INDEX([1]Parametros!L$16:L$20,MATCH($C2,[1]Parametros!$A$16:$A$20,0)))*$K2,N('[1]ATS USA'!U2))&lt;=0,"",MIN(N(INDEX([1]Parametros!L$16:L$20,MATCH($C2,[1]Parametros!$A$16:$A$20,0)))*$K2,N('[1]ATS USA'!U2)))</f>
        <v>1</v>
      </c>
      <c r="W2" s="10">
        <f>IF(MIN(N(INDEX([1]Parametros!M$16:M$20,MATCH($C2,[1]Parametros!$A$16:$A$20,0)))*$K2,N('[1]ATS USA'!V2))&lt;=0,"",MIN(N(INDEX([1]Parametros!M$16:M$20,MATCH($C2,[1]Parametros!$A$16:$A$20,0)))*$K2,N('[1]ATS USA'!V2)))</f>
        <v>2</v>
      </c>
      <c r="X2" s="10">
        <f>IF(MIN(N(INDEX([1]Parametros!N$16:N$20,MATCH($C2,[1]Parametros!$A$16:$A$20,0)))*$K2,N('[1]ATS USA'!W2))&lt;=0,"",MIN(N(INDEX([1]Parametros!N$16:N$20,MATCH($C2,[1]Parametros!$A$16:$A$20,0)))*$K2,N('[1]ATS USA'!W2)))</f>
        <v>2</v>
      </c>
      <c r="Y2" s="10">
        <f>IF(MIN(N(INDEX([1]Parametros!O$16:O$20,MATCH($C2,[1]Parametros!$A$16:$A$20,0)))*$K2,N('[1]ATS USA'!X2))&lt;=0,"",MIN(N(INDEX([1]Parametros!O$16:O$20,MATCH($C2,[1]Parametros!$A$16:$A$20,0)))*$K2,N('[1]ATS USA'!X2)))</f>
        <v>2</v>
      </c>
      <c r="Z2" s="10">
        <f>IF(MIN(N(INDEX([1]Parametros!P$16:P$20,MATCH($C2,[1]Parametros!$A$16:$A$20,0)))*$K2,N('[1]ATS USA'!Y2))&lt;=0,"",MIN(N(INDEX([1]Parametros!P$16:P$20,MATCH($C2,[1]Parametros!$A$16:$A$20,0)))*$K2,N('[1]ATS USA'!Y2)))</f>
        <v>1</v>
      </c>
      <c r="AA2" s="9">
        <f>IF(MIN(N(INDEX([1]Parametros!Q$16:Q$20,MATCH($C2,[1]Parametros!$A$16:$A$20,0)))*$K2,N('[1]ATS USA'!Z2))&lt;=0,"",MIN(N(INDEX([1]Parametros!Q$16:Q$20,MATCH($C2,[1]Parametros!$A$16:$A$20,0)))*$K2,N('[1]ATS USA'!Z2)))</f>
        <v>1</v>
      </c>
      <c r="AB2" s="10">
        <f>IF(MIN(N(INDEX([1]Parametros!R$16:R$20,MATCH($C2,[1]Parametros!$A$16:$A$20,0)))*$K2,N('[1]ATS USA'!AA2))&lt;=0,"",MIN(N(INDEX([1]Parametros!R$16:R$20,MATCH($C2,[1]Parametros!$A$16:$A$20,0)))*$K2,N('[1]ATS USA'!AA2)))</f>
        <v>1</v>
      </c>
      <c r="AC2" s="9" t="str">
        <f>IF(MIN(N(INDEX([1]Parametros!S$16:S$20,MATCH($C2,[1]Parametros!$A$16:$A$20,0)))*$K2,N('[1]ATS USA'!AB2))&lt;=0,"",MIN(N(INDEX([1]Parametros!S$16:S$20,MATCH($C2,[1]Parametros!$A$16:$A$20,0)))*$K2,N('[1]ATS USA'!AB2)))</f>
        <v/>
      </c>
      <c r="AD2" s="10" t="str">
        <f>IF(MIN(N(INDEX([1]Parametros!T$16:T$20,MATCH($C2,[1]Parametros!$A$16:$A$20,0)))*$K2,N('[1]ATS USA'!AC2))&lt;=0,"",MIN(N(INDEX([1]Parametros!T$16:T$20,MATCH($C2,[1]Parametros!$A$16:$A$20,0)))*$K2,N('[1]ATS USA'!AC2)))</f>
        <v/>
      </c>
      <c r="AE2" s="9" t="str">
        <f>IF(MIN(N(INDEX([1]Parametros!U$16:U$20,MATCH($C2,[1]Parametros!$A$16:$A$20,0)))*$K2,N('[1]ATS USA'!AD2))&lt;=0,"",MIN(N(INDEX([1]Parametros!U$16:U$20,MATCH($C2,[1]Parametros!$A$16:$A$20,0)))*$K2,N('[1]ATS USA'!AD2)))</f>
        <v/>
      </c>
      <c r="AF2" s="11">
        <f t="shared" ref="AF2:AF33" si="0">SUM(L2:AE2)</f>
        <v>12</v>
      </c>
      <c r="AG2" s="12" t="str">
        <f t="shared" ref="AG2:AG65" si="1">IF(AF2=12*K2,"OK","AJUSTAR")</f>
        <v>OK</v>
      </c>
      <c r="AH2" s="6">
        <f t="shared" ref="AH2:AH65" si="2">H2*AF2</f>
        <v>420</v>
      </c>
      <c r="AI2" s="9">
        <f t="shared" ref="AI2:AI65" si="3">12*K2-AF2</f>
        <v>0</v>
      </c>
      <c r="AJ2" s="13">
        <f>IF(LEFT($A2,8)="Tránsito",IFERROR(_xlfn.XLOOKUP(--$E2,'[1]Reserva Territorios'!$C:$C,'[1]Reserva Territorios'!$J:$J),0),0)</f>
        <v>0</v>
      </c>
      <c r="AK2" s="13">
        <f>AF2-AJ2</f>
        <v>12</v>
      </c>
    </row>
    <row r="3" spans="1:37" ht="48.95" customHeight="1" x14ac:dyDescent="0.25">
      <c r="A3" s="3" t="s">
        <v>37</v>
      </c>
      <c r="B3" s="4" t="s">
        <v>38</v>
      </c>
      <c r="C3" s="4" t="s">
        <v>39</v>
      </c>
      <c r="D3" s="4" t="s">
        <v>44</v>
      </c>
      <c r="E3" s="4" t="s">
        <v>45</v>
      </c>
      <c r="F3" s="4" t="s">
        <v>46</v>
      </c>
      <c r="G3" s="4" t="s">
        <v>47</v>
      </c>
      <c r="H3" s="5">
        <v>48</v>
      </c>
      <c r="I3" s="6">
        <v>150</v>
      </c>
      <c r="J3" s="7">
        <f>ROUND(I3*[1]Parametros!$B$10,-3)</f>
        <v>535000</v>
      </c>
      <c r="K3" s="8">
        <v>3</v>
      </c>
      <c r="L3" s="9" t="str">
        <f>IF(MIN(N(INDEX([1]Parametros!B$16:B$20,MATCH($C3,[1]Parametros!$A$16:$A$20,0)))*$K3,N('[1]ATS USA'!K3))&lt;=0,"",MIN(N(INDEX([1]Parametros!B$16:B$20,MATCH($C3,[1]Parametros!$A$16:$A$20,0)))*$K3,N('[1]ATS USA'!K3)))</f>
        <v/>
      </c>
      <c r="M3" s="9" t="str">
        <f>IF(MIN(N(INDEX([1]Parametros!C$16:C$20,MATCH($C3,[1]Parametros!$A$16:$A$20,0)))*$K3,N('[1]ATS USA'!L3))&lt;=0,"",MIN(N(INDEX([1]Parametros!C$16:C$20,MATCH($C3,[1]Parametros!$A$16:$A$20,0)))*$K3,N('[1]ATS USA'!L3)))</f>
        <v/>
      </c>
      <c r="N3" s="9" t="str">
        <f>IF(MIN(N(INDEX([1]Parametros!D$16:D$20,MATCH($C3,[1]Parametros!$A$16:$A$20,0)))*$K3,N('[1]ATS USA'!M3))&lt;=0,"",MIN(N(INDEX([1]Parametros!D$16:D$20,MATCH($C3,[1]Parametros!$A$16:$A$20,0)))*$K3,N('[1]ATS USA'!M3)))</f>
        <v/>
      </c>
      <c r="O3" s="9" t="str">
        <f>IF(MIN(N(INDEX([1]Parametros!E$16:E$20,MATCH($C3,[1]Parametros!$A$16:$A$20,0)))*$K3,N('[1]ATS USA'!N3))&lt;=0,"",MIN(N(INDEX([1]Parametros!E$16:E$20,MATCH($C3,[1]Parametros!$A$16:$A$20,0)))*$K3,N('[1]ATS USA'!N3)))</f>
        <v/>
      </c>
      <c r="P3" s="9" t="str">
        <f>IF(MIN(N(INDEX([1]Parametros!F$16:F$20,MATCH($C3,[1]Parametros!$A$16:$A$20,0)))*$K3,N('[1]ATS USA'!O3))&lt;=0,"",MIN(N(INDEX([1]Parametros!F$16:F$20,MATCH($C3,[1]Parametros!$A$16:$A$20,0)))*$K3,N('[1]ATS USA'!O3)))</f>
        <v/>
      </c>
      <c r="Q3" s="9" t="str">
        <f>IF(MIN(N(INDEX([1]Parametros!G$16:G$20,MATCH($C3,[1]Parametros!$A$16:$A$20,0)))*$K3,N('[1]ATS USA'!P3))&lt;=0,"",MIN(N(INDEX([1]Parametros!G$16:G$20,MATCH($C3,[1]Parametros!$A$16:$A$20,0)))*$K3,N('[1]ATS USA'!P3)))</f>
        <v/>
      </c>
      <c r="R3" s="9" t="str">
        <f>IF(MIN(N(INDEX([1]Parametros!H$16:H$20,MATCH($C3,[1]Parametros!$A$16:$A$20,0)))*$K3,N('[1]ATS USA'!Q3))&lt;=0,"",MIN(N(INDEX([1]Parametros!H$16:H$20,MATCH($C3,[1]Parametros!$A$16:$A$20,0)))*$K3,N('[1]ATS USA'!Q3)))</f>
        <v/>
      </c>
      <c r="S3" s="9" t="str">
        <f>IF(MIN(N(INDEX([1]Parametros!I$16:I$20,MATCH($C3,[1]Parametros!$A$16:$A$20,0)))*$K3,N('[1]ATS USA'!R3))&lt;=0,"",MIN(N(INDEX([1]Parametros!I$16:I$20,MATCH($C3,[1]Parametros!$A$16:$A$20,0)))*$K3,N('[1]ATS USA'!R3)))</f>
        <v/>
      </c>
      <c r="T3" s="9" t="str">
        <f>IF(MIN(N(INDEX([1]Parametros!J$16:J$20,MATCH($C3,[1]Parametros!$A$16:$A$20,0)))*$K3,N('[1]ATS USA'!S3))&lt;=0,"",MIN(N(INDEX([1]Parametros!J$16:J$20,MATCH($C3,[1]Parametros!$A$16:$A$20,0)))*$K3,N('[1]ATS USA'!S3)))</f>
        <v/>
      </c>
      <c r="U3" s="9">
        <f>IF(MIN(N(INDEX([1]Parametros!K$16:K$20,MATCH($C3,[1]Parametros!$A$16:$A$20,0)))*$K3,N('[1]ATS USA'!T3))&lt;=0,"",MIN(N(INDEX([1]Parametros!K$16:K$20,MATCH($C3,[1]Parametros!$A$16:$A$20,0)))*$K3,N('[1]ATS USA'!T3)))</f>
        <v>3</v>
      </c>
      <c r="V3" s="10">
        <f>IF(MIN(N(INDEX([1]Parametros!L$16:L$20,MATCH($C3,[1]Parametros!$A$16:$A$20,0)))*$K3,N('[1]ATS USA'!U3))&lt;=0,"",MIN(N(INDEX([1]Parametros!L$16:L$20,MATCH($C3,[1]Parametros!$A$16:$A$20,0)))*$K3,N('[1]ATS USA'!U3)))</f>
        <v>3</v>
      </c>
      <c r="W3" s="10">
        <f>IF(MIN(N(INDEX([1]Parametros!M$16:M$20,MATCH($C3,[1]Parametros!$A$16:$A$20,0)))*$K3,N('[1]ATS USA'!V3))&lt;=0,"",MIN(N(INDEX([1]Parametros!M$16:M$20,MATCH($C3,[1]Parametros!$A$16:$A$20,0)))*$K3,N('[1]ATS USA'!V3)))</f>
        <v>6</v>
      </c>
      <c r="X3" s="10">
        <f>IF(MIN(N(INDEX([1]Parametros!N$16:N$20,MATCH($C3,[1]Parametros!$A$16:$A$20,0)))*$K3,N('[1]ATS USA'!W3))&lt;=0,"",MIN(N(INDEX([1]Parametros!N$16:N$20,MATCH($C3,[1]Parametros!$A$16:$A$20,0)))*$K3,N('[1]ATS USA'!W3)))</f>
        <v>6</v>
      </c>
      <c r="Y3" s="10">
        <f>IF(MIN(N(INDEX([1]Parametros!O$16:O$20,MATCH($C3,[1]Parametros!$A$16:$A$20,0)))*$K3,N('[1]ATS USA'!X3))&lt;=0,"",MIN(N(INDEX([1]Parametros!O$16:O$20,MATCH($C3,[1]Parametros!$A$16:$A$20,0)))*$K3,N('[1]ATS USA'!X3)))</f>
        <v>6</v>
      </c>
      <c r="Z3" s="10">
        <f>IF(MIN(N(INDEX([1]Parametros!P$16:P$20,MATCH($C3,[1]Parametros!$A$16:$A$20,0)))*$K3,N('[1]ATS USA'!Y3))&lt;=0,"",MIN(N(INDEX([1]Parametros!P$16:P$20,MATCH($C3,[1]Parametros!$A$16:$A$20,0)))*$K3,N('[1]ATS USA'!Y3)))</f>
        <v>3</v>
      </c>
      <c r="AA3" s="9">
        <f>IF(MIN(N(INDEX([1]Parametros!Q$16:Q$20,MATCH($C3,[1]Parametros!$A$16:$A$20,0)))*$K3,N('[1]ATS USA'!Z3))&lt;=0,"",MIN(N(INDEX([1]Parametros!Q$16:Q$20,MATCH($C3,[1]Parametros!$A$16:$A$20,0)))*$K3,N('[1]ATS USA'!Z3)))</f>
        <v>3</v>
      </c>
      <c r="AB3" s="10">
        <f>IF(MIN(N(INDEX([1]Parametros!R$16:R$20,MATCH($C3,[1]Parametros!$A$16:$A$20,0)))*$K3,N('[1]ATS USA'!AA3))&lt;=0,"",MIN(N(INDEX([1]Parametros!R$16:R$20,MATCH($C3,[1]Parametros!$A$16:$A$20,0)))*$K3,N('[1]ATS USA'!AA3)))</f>
        <v>3</v>
      </c>
      <c r="AC3" s="9" t="str">
        <f>IF(MIN(N(INDEX([1]Parametros!S$16:S$20,MATCH($C3,[1]Parametros!$A$16:$A$20,0)))*$K3,N('[1]ATS USA'!AB3))&lt;=0,"",MIN(N(INDEX([1]Parametros!S$16:S$20,MATCH($C3,[1]Parametros!$A$16:$A$20,0)))*$K3,N('[1]ATS USA'!AB3)))</f>
        <v/>
      </c>
      <c r="AD3" s="10" t="str">
        <f>IF(MIN(N(INDEX([1]Parametros!T$16:T$20,MATCH($C3,[1]Parametros!$A$16:$A$20,0)))*$K3,N('[1]ATS USA'!AC3))&lt;=0,"",MIN(N(INDEX([1]Parametros!T$16:T$20,MATCH($C3,[1]Parametros!$A$16:$A$20,0)))*$K3,N('[1]ATS USA'!AC3)))</f>
        <v/>
      </c>
      <c r="AE3" s="9" t="str">
        <f>IF(MIN(N(INDEX([1]Parametros!U$16:U$20,MATCH($C3,[1]Parametros!$A$16:$A$20,0)))*$K3,N('[1]ATS USA'!AD3))&lt;=0,"",MIN(N(INDEX([1]Parametros!U$16:U$20,MATCH($C3,[1]Parametros!$A$16:$A$20,0)))*$K3,N('[1]ATS USA'!AD3)))</f>
        <v/>
      </c>
      <c r="AF3" s="11">
        <f t="shared" si="0"/>
        <v>33</v>
      </c>
      <c r="AG3" s="12" t="str">
        <f t="shared" si="1"/>
        <v>AJUSTAR</v>
      </c>
      <c r="AH3" s="6">
        <f t="shared" si="2"/>
        <v>1584</v>
      </c>
      <c r="AI3" s="9">
        <f t="shared" si="3"/>
        <v>3</v>
      </c>
      <c r="AJ3" s="13">
        <f>IF(LEFT($A3,8)="Tránsito",IFERROR(_xlfn.XLOOKUP(--$E3,'[1]Reserva Territorios'!$C:$C,'[1]Reserva Territorios'!$J:$J),0),0)</f>
        <v>0</v>
      </c>
      <c r="AK3" s="13">
        <f t="shared" ref="AK3:AK66" si="4">AF3-AJ3</f>
        <v>33</v>
      </c>
    </row>
    <row r="4" spans="1:37" ht="48.95" customHeight="1" x14ac:dyDescent="0.25">
      <c r="A4" s="3" t="s">
        <v>37</v>
      </c>
      <c r="B4" s="4" t="s">
        <v>38</v>
      </c>
      <c r="C4" s="4" t="s">
        <v>39</v>
      </c>
      <c r="D4" s="4" t="s">
        <v>44</v>
      </c>
      <c r="E4" s="4" t="s">
        <v>48</v>
      </c>
      <c r="F4" s="4" t="s">
        <v>49</v>
      </c>
      <c r="G4" s="4" t="s">
        <v>50</v>
      </c>
      <c r="H4" s="5">
        <v>48</v>
      </c>
      <c r="I4" s="6">
        <v>150</v>
      </c>
      <c r="J4" s="7">
        <f>ROUND(I4*[1]Parametros!$B$10,-3)</f>
        <v>535000</v>
      </c>
      <c r="K4" s="8">
        <v>3</v>
      </c>
      <c r="L4" s="9" t="str">
        <f>IF(MIN(N(INDEX([1]Parametros!B$16:B$20,MATCH($C4,[1]Parametros!$A$16:$A$20,0)))*$K4,N('[1]ATS USA'!K4))&lt;=0,"",MIN(N(INDEX([1]Parametros!B$16:B$20,MATCH($C4,[1]Parametros!$A$16:$A$20,0)))*$K4,N('[1]ATS USA'!K4)))</f>
        <v/>
      </c>
      <c r="M4" s="9" t="str">
        <f>IF(MIN(N(INDEX([1]Parametros!C$16:C$20,MATCH($C4,[1]Parametros!$A$16:$A$20,0)))*$K4,N('[1]ATS USA'!L4))&lt;=0,"",MIN(N(INDEX([1]Parametros!C$16:C$20,MATCH($C4,[1]Parametros!$A$16:$A$20,0)))*$K4,N('[1]ATS USA'!L4)))</f>
        <v/>
      </c>
      <c r="N4" s="9" t="str">
        <f>IF(MIN(N(INDEX([1]Parametros!D$16:D$20,MATCH($C4,[1]Parametros!$A$16:$A$20,0)))*$K4,N('[1]ATS USA'!M4))&lt;=0,"",MIN(N(INDEX([1]Parametros!D$16:D$20,MATCH($C4,[1]Parametros!$A$16:$A$20,0)))*$K4,N('[1]ATS USA'!M4)))</f>
        <v/>
      </c>
      <c r="O4" s="9" t="str">
        <f>IF(MIN(N(INDEX([1]Parametros!E$16:E$20,MATCH($C4,[1]Parametros!$A$16:$A$20,0)))*$K4,N('[1]ATS USA'!N4))&lt;=0,"",MIN(N(INDEX([1]Parametros!E$16:E$20,MATCH($C4,[1]Parametros!$A$16:$A$20,0)))*$K4,N('[1]ATS USA'!N4)))</f>
        <v/>
      </c>
      <c r="P4" s="9" t="str">
        <f>IF(MIN(N(INDEX([1]Parametros!F$16:F$20,MATCH($C4,[1]Parametros!$A$16:$A$20,0)))*$K4,N('[1]ATS USA'!O4))&lt;=0,"",MIN(N(INDEX([1]Parametros!F$16:F$20,MATCH($C4,[1]Parametros!$A$16:$A$20,0)))*$K4,N('[1]ATS USA'!O4)))</f>
        <v/>
      </c>
      <c r="Q4" s="9" t="str">
        <f>IF(MIN(N(INDEX([1]Parametros!G$16:G$20,MATCH($C4,[1]Parametros!$A$16:$A$20,0)))*$K4,N('[1]ATS USA'!P4))&lt;=0,"",MIN(N(INDEX([1]Parametros!G$16:G$20,MATCH($C4,[1]Parametros!$A$16:$A$20,0)))*$K4,N('[1]ATS USA'!P4)))</f>
        <v/>
      </c>
      <c r="R4" s="9" t="str">
        <f>IF(MIN(N(INDEX([1]Parametros!H$16:H$20,MATCH($C4,[1]Parametros!$A$16:$A$20,0)))*$K4,N('[1]ATS USA'!Q4))&lt;=0,"",MIN(N(INDEX([1]Parametros!H$16:H$20,MATCH($C4,[1]Parametros!$A$16:$A$20,0)))*$K4,N('[1]ATS USA'!Q4)))</f>
        <v/>
      </c>
      <c r="S4" s="9" t="str">
        <f>IF(MIN(N(INDEX([1]Parametros!I$16:I$20,MATCH($C4,[1]Parametros!$A$16:$A$20,0)))*$K4,N('[1]ATS USA'!R4))&lt;=0,"",MIN(N(INDEX([1]Parametros!I$16:I$20,MATCH($C4,[1]Parametros!$A$16:$A$20,0)))*$K4,N('[1]ATS USA'!R4)))</f>
        <v/>
      </c>
      <c r="T4" s="9" t="str">
        <f>IF(MIN(N(INDEX([1]Parametros!J$16:J$20,MATCH($C4,[1]Parametros!$A$16:$A$20,0)))*$K4,N('[1]ATS USA'!S4))&lt;=0,"",MIN(N(INDEX([1]Parametros!J$16:J$20,MATCH($C4,[1]Parametros!$A$16:$A$20,0)))*$K4,N('[1]ATS USA'!S4)))</f>
        <v/>
      </c>
      <c r="U4" s="9" t="str">
        <f>IF(MIN(N(INDEX([1]Parametros!K$16:K$20,MATCH($C4,[1]Parametros!$A$16:$A$20,0)))*$K4,N('[1]ATS USA'!T4))&lt;=0,"",MIN(N(INDEX([1]Parametros!K$16:K$20,MATCH($C4,[1]Parametros!$A$16:$A$20,0)))*$K4,N('[1]ATS USA'!T4)))</f>
        <v/>
      </c>
      <c r="V4" s="10">
        <f>IF(MIN(N(INDEX([1]Parametros!L$16:L$20,MATCH($C4,[1]Parametros!$A$16:$A$20,0)))*$K4,N('[1]ATS USA'!U4))&lt;=0,"",MIN(N(INDEX([1]Parametros!L$16:L$20,MATCH($C4,[1]Parametros!$A$16:$A$20,0)))*$K4,N('[1]ATS USA'!U4)))</f>
        <v>3</v>
      </c>
      <c r="W4" s="10">
        <f>IF(MIN(N(INDEX([1]Parametros!M$16:M$20,MATCH($C4,[1]Parametros!$A$16:$A$20,0)))*$K4,N('[1]ATS USA'!V4))&lt;=0,"",MIN(N(INDEX([1]Parametros!M$16:M$20,MATCH($C4,[1]Parametros!$A$16:$A$20,0)))*$K4,N('[1]ATS USA'!V4)))</f>
        <v>6</v>
      </c>
      <c r="X4" s="10">
        <f>IF(MIN(N(INDEX([1]Parametros!N$16:N$20,MATCH($C4,[1]Parametros!$A$16:$A$20,0)))*$K4,N('[1]ATS USA'!W4))&lt;=0,"",MIN(N(INDEX([1]Parametros!N$16:N$20,MATCH($C4,[1]Parametros!$A$16:$A$20,0)))*$K4,N('[1]ATS USA'!W4)))</f>
        <v>6</v>
      </c>
      <c r="Y4" s="10">
        <f>IF(MIN(N(INDEX([1]Parametros!O$16:O$20,MATCH($C4,[1]Parametros!$A$16:$A$20,0)))*$K4,N('[1]ATS USA'!X4))&lt;=0,"",MIN(N(INDEX([1]Parametros!O$16:O$20,MATCH($C4,[1]Parametros!$A$16:$A$20,0)))*$K4,N('[1]ATS USA'!X4)))</f>
        <v>6</v>
      </c>
      <c r="Z4" s="10">
        <f>IF(MIN(N(INDEX([1]Parametros!P$16:P$20,MATCH($C4,[1]Parametros!$A$16:$A$20,0)))*$K4,N('[1]ATS USA'!Y4))&lt;=0,"",MIN(N(INDEX([1]Parametros!P$16:P$20,MATCH($C4,[1]Parametros!$A$16:$A$20,0)))*$K4,N('[1]ATS USA'!Y4)))</f>
        <v>3</v>
      </c>
      <c r="AA4" s="9">
        <f>IF(MIN(N(INDEX([1]Parametros!Q$16:Q$20,MATCH($C4,[1]Parametros!$A$16:$A$20,0)))*$K4,N('[1]ATS USA'!Z4))&lt;=0,"",MIN(N(INDEX([1]Parametros!Q$16:Q$20,MATCH($C4,[1]Parametros!$A$16:$A$20,0)))*$K4,N('[1]ATS USA'!Z4)))</f>
        <v>3</v>
      </c>
      <c r="AB4" s="10">
        <f>IF(MIN(N(INDEX([1]Parametros!R$16:R$20,MATCH($C4,[1]Parametros!$A$16:$A$20,0)))*$K4,N('[1]ATS USA'!AA4))&lt;=0,"",MIN(N(INDEX([1]Parametros!R$16:R$20,MATCH($C4,[1]Parametros!$A$16:$A$20,0)))*$K4,N('[1]ATS USA'!AA4)))</f>
        <v>3</v>
      </c>
      <c r="AC4" s="9" t="str">
        <f>IF(MIN(N(INDEX([1]Parametros!S$16:S$20,MATCH($C4,[1]Parametros!$A$16:$A$20,0)))*$K4,N('[1]ATS USA'!AB4))&lt;=0,"",MIN(N(INDEX([1]Parametros!S$16:S$20,MATCH($C4,[1]Parametros!$A$16:$A$20,0)))*$K4,N('[1]ATS USA'!AB4)))</f>
        <v/>
      </c>
      <c r="AD4" s="10" t="str">
        <f>IF(MIN(N(INDEX([1]Parametros!T$16:T$20,MATCH($C4,[1]Parametros!$A$16:$A$20,0)))*$K4,N('[1]ATS USA'!AC4))&lt;=0,"",MIN(N(INDEX([1]Parametros!T$16:T$20,MATCH($C4,[1]Parametros!$A$16:$A$20,0)))*$K4,N('[1]ATS USA'!AC4)))</f>
        <v/>
      </c>
      <c r="AE4" s="9" t="str">
        <f>IF(MIN(N(INDEX([1]Parametros!U$16:U$20,MATCH($C4,[1]Parametros!$A$16:$A$20,0)))*$K4,N('[1]ATS USA'!AD4))&lt;=0,"",MIN(N(INDEX([1]Parametros!U$16:U$20,MATCH($C4,[1]Parametros!$A$16:$A$20,0)))*$K4,N('[1]ATS USA'!AD4)))</f>
        <v/>
      </c>
      <c r="AF4" s="11">
        <f t="shared" si="0"/>
        <v>30</v>
      </c>
      <c r="AG4" s="12" t="str">
        <f t="shared" si="1"/>
        <v>AJUSTAR</v>
      </c>
      <c r="AH4" s="6">
        <f t="shared" si="2"/>
        <v>1440</v>
      </c>
      <c r="AI4" s="9">
        <f t="shared" si="3"/>
        <v>6</v>
      </c>
      <c r="AJ4" s="13">
        <f>IF(LEFT($A4,8)="Tránsito",IFERROR(_xlfn.XLOOKUP(--$E4,'[1]Reserva Territorios'!$C:$C,'[1]Reserva Territorios'!$J:$J),0),0)</f>
        <v>0</v>
      </c>
      <c r="AK4" s="13">
        <f>AF4-AJ4</f>
        <v>30</v>
      </c>
    </row>
    <row r="5" spans="1:37" ht="48.95" customHeight="1" x14ac:dyDescent="0.25">
      <c r="A5" s="3" t="s">
        <v>37</v>
      </c>
      <c r="B5" s="4" t="s">
        <v>38</v>
      </c>
      <c r="C5" s="4" t="s">
        <v>39</v>
      </c>
      <c r="D5" s="4" t="s">
        <v>51</v>
      </c>
      <c r="E5" s="4" t="s">
        <v>52</v>
      </c>
      <c r="F5" s="4" t="s">
        <v>53</v>
      </c>
      <c r="G5" s="4" t="s">
        <v>43</v>
      </c>
      <c r="H5" s="5">
        <v>52</v>
      </c>
      <c r="I5" s="6">
        <v>165</v>
      </c>
      <c r="J5" s="7">
        <f>ROUND(I5*[1]Parametros!$B$10,-3)</f>
        <v>589000</v>
      </c>
      <c r="K5" s="8">
        <v>4</v>
      </c>
      <c r="L5" s="9" t="str">
        <f>IF(MIN(N(INDEX([1]Parametros!B$16:B$20,MATCH($C5,[1]Parametros!$A$16:$A$20,0)))*$K5,N('[1]ATS USA'!K5))&lt;=0,"",MIN(N(INDEX([1]Parametros!B$16:B$20,MATCH($C5,[1]Parametros!$A$16:$A$20,0)))*$K5,N('[1]ATS USA'!K5)))</f>
        <v/>
      </c>
      <c r="M5" s="9" t="str">
        <f>IF(MIN(N(INDEX([1]Parametros!C$16:C$20,MATCH($C5,[1]Parametros!$A$16:$A$20,0)))*$K5,N('[1]ATS USA'!L5))&lt;=0,"",MIN(N(INDEX([1]Parametros!C$16:C$20,MATCH($C5,[1]Parametros!$A$16:$A$20,0)))*$K5,N('[1]ATS USA'!L5)))</f>
        <v/>
      </c>
      <c r="N5" s="9" t="str">
        <f>IF(MIN(N(INDEX([1]Parametros!D$16:D$20,MATCH($C5,[1]Parametros!$A$16:$A$20,0)))*$K5,N('[1]ATS USA'!M5))&lt;=0,"",MIN(N(INDEX([1]Parametros!D$16:D$20,MATCH($C5,[1]Parametros!$A$16:$A$20,0)))*$K5,N('[1]ATS USA'!M5)))</f>
        <v/>
      </c>
      <c r="O5" s="9" t="str">
        <f>IF(MIN(N(INDEX([1]Parametros!E$16:E$20,MATCH($C5,[1]Parametros!$A$16:$A$20,0)))*$K5,N('[1]ATS USA'!N5))&lt;=0,"",MIN(N(INDEX([1]Parametros!E$16:E$20,MATCH($C5,[1]Parametros!$A$16:$A$20,0)))*$K5,N('[1]ATS USA'!N5)))</f>
        <v/>
      </c>
      <c r="P5" s="9" t="str">
        <f>IF(MIN(N(INDEX([1]Parametros!F$16:F$20,MATCH($C5,[1]Parametros!$A$16:$A$20,0)))*$K5,N('[1]ATS USA'!O5))&lt;=0,"",MIN(N(INDEX([1]Parametros!F$16:F$20,MATCH($C5,[1]Parametros!$A$16:$A$20,0)))*$K5,N('[1]ATS USA'!O5)))</f>
        <v/>
      </c>
      <c r="Q5" s="9" t="str">
        <f>IF(MIN(N(INDEX([1]Parametros!G$16:G$20,MATCH($C5,[1]Parametros!$A$16:$A$20,0)))*$K5,N('[1]ATS USA'!P5))&lt;=0,"",MIN(N(INDEX([1]Parametros!G$16:G$20,MATCH($C5,[1]Parametros!$A$16:$A$20,0)))*$K5,N('[1]ATS USA'!P5)))</f>
        <v/>
      </c>
      <c r="R5" s="9" t="str">
        <f>IF(MIN(N(INDEX([1]Parametros!H$16:H$20,MATCH($C5,[1]Parametros!$A$16:$A$20,0)))*$K5,N('[1]ATS USA'!Q5))&lt;=0,"",MIN(N(INDEX([1]Parametros!H$16:H$20,MATCH($C5,[1]Parametros!$A$16:$A$20,0)))*$K5,N('[1]ATS USA'!Q5)))</f>
        <v/>
      </c>
      <c r="S5" s="9" t="str">
        <f>IF(MIN(N(INDEX([1]Parametros!I$16:I$20,MATCH($C5,[1]Parametros!$A$16:$A$20,0)))*$K5,N('[1]ATS USA'!R5))&lt;=0,"",MIN(N(INDEX([1]Parametros!I$16:I$20,MATCH($C5,[1]Parametros!$A$16:$A$20,0)))*$K5,N('[1]ATS USA'!R5)))</f>
        <v/>
      </c>
      <c r="T5" s="10">
        <f>IF(MIN(N(INDEX([1]Parametros!J$16:J$20,MATCH($C5,[1]Parametros!$A$16:$A$20,0)))*$K5,N('[1]ATS USA'!S5))&lt;=0,"",MIN(N(INDEX([1]Parametros!J$16:J$20,MATCH($C5,[1]Parametros!$A$16:$A$20,0)))*$K5,N('[1]ATS USA'!S5)))</f>
        <v>4</v>
      </c>
      <c r="U5" s="9">
        <f>IF(MIN(N(INDEX([1]Parametros!K$16:K$20,MATCH($C5,[1]Parametros!$A$16:$A$20,0)))*$K5,N('[1]ATS USA'!T5))&lt;=0,"",MIN(N(INDEX([1]Parametros!K$16:K$20,MATCH($C5,[1]Parametros!$A$16:$A$20,0)))*$K5,N('[1]ATS USA'!T5)))</f>
        <v>4</v>
      </c>
      <c r="V5" s="10">
        <f>IF(MIN(N(INDEX([1]Parametros!L$16:L$20,MATCH($C5,[1]Parametros!$A$16:$A$20,0)))*$K5,N('[1]ATS USA'!U5))&lt;=0,"",MIN(N(INDEX([1]Parametros!L$16:L$20,MATCH($C5,[1]Parametros!$A$16:$A$20,0)))*$K5,N('[1]ATS USA'!U5)))</f>
        <v>4</v>
      </c>
      <c r="W5" s="10">
        <f>IF(MIN(N(INDEX([1]Parametros!M$16:M$20,MATCH($C5,[1]Parametros!$A$16:$A$20,0)))*$K5,N('[1]ATS USA'!V5))&lt;=0,"",MIN(N(INDEX([1]Parametros!M$16:M$20,MATCH($C5,[1]Parametros!$A$16:$A$20,0)))*$K5,N('[1]ATS USA'!V5)))</f>
        <v>8</v>
      </c>
      <c r="X5" s="10">
        <f>IF(MIN(N(INDEX([1]Parametros!N$16:N$20,MATCH($C5,[1]Parametros!$A$16:$A$20,0)))*$K5,N('[1]ATS USA'!W5))&lt;=0,"",MIN(N(INDEX([1]Parametros!N$16:N$20,MATCH($C5,[1]Parametros!$A$16:$A$20,0)))*$K5,N('[1]ATS USA'!W5)))</f>
        <v>8</v>
      </c>
      <c r="Y5" s="10">
        <f>IF(MIN(N(INDEX([1]Parametros!O$16:O$20,MATCH($C5,[1]Parametros!$A$16:$A$20,0)))*$K5,N('[1]ATS USA'!X5))&lt;=0,"",MIN(N(INDEX([1]Parametros!O$16:O$20,MATCH($C5,[1]Parametros!$A$16:$A$20,0)))*$K5,N('[1]ATS USA'!X5)))</f>
        <v>8</v>
      </c>
      <c r="Z5" s="10">
        <f>IF(MIN(N(INDEX([1]Parametros!P$16:P$20,MATCH($C5,[1]Parametros!$A$16:$A$20,0)))*$K5,N('[1]ATS USA'!Y5))&lt;=0,"",MIN(N(INDEX([1]Parametros!P$16:P$20,MATCH($C5,[1]Parametros!$A$16:$A$20,0)))*$K5,N('[1]ATS USA'!Y5)))</f>
        <v>4</v>
      </c>
      <c r="AA5" s="9" t="str">
        <f>IF(MIN(N(INDEX([1]Parametros!Q$16:Q$20,MATCH($C5,[1]Parametros!$A$16:$A$20,0)))*$K5,N('[1]ATS USA'!Z5))&lt;=0,"",MIN(N(INDEX([1]Parametros!Q$16:Q$20,MATCH($C5,[1]Parametros!$A$16:$A$20,0)))*$K5,N('[1]ATS USA'!Z5)))</f>
        <v/>
      </c>
      <c r="AB5" s="10">
        <f>IF(MIN(N(INDEX([1]Parametros!R$16:R$20,MATCH($C5,[1]Parametros!$A$16:$A$20,0)))*$K5,N('[1]ATS USA'!AA5))&lt;=0,"",MIN(N(INDEX([1]Parametros!R$16:R$20,MATCH($C5,[1]Parametros!$A$16:$A$20,0)))*$K5,N('[1]ATS USA'!AA5)))</f>
        <v>4</v>
      </c>
      <c r="AC5" s="9" t="str">
        <f>IF(MIN(N(INDEX([1]Parametros!S$16:S$20,MATCH($C5,[1]Parametros!$A$16:$A$20,0)))*$K5,N('[1]ATS USA'!AB5))&lt;=0,"",MIN(N(INDEX([1]Parametros!S$16:S$20,MATCH($C5,[1]Parametros!$A$16:$A$20,0)))*$K5,N('[1]ATS USA'!AB5)))</f>
        <v/>
      </c>
      <c r="AD5" s="10" t="str">
        <f>IF(MIN(N(INDEX([1]Parametros!T$16:T$20,MATCH($C5,[1]Parametros!$A$16:$A$20,0)))*$K5,N('[1]ATS USA'!AC5))&lt;=0,"",MIN(N(INDEX([1]Parametros!T$16:T$20,MATCH($C5,[1]Parametros!$A$16:$A$20,0)))*$K5,N('[1]ATS USA'!AC5)))</f>
        <v/>
      </c>
      <c r="AE5" s="9" t="str">
        <f>IF(MIN(N(INDEX([1]Parametros!U$16:U$20,MATCH($C5,[1]Parametros!$A$16:$A$20,0)))*$K5,N('[1]ATS USA'!AD5))&lt;=0,"",MIN(N(INDEX([1]Parametros!U$16:U$20,MATCH($C5,[1]Parametros!$A$16:$A$20,0)))*$K5,N('[1]ATS USA'!AD5)))</f>
        <v/>
      </c>
      <c r="AF5" s="11">
        <f t="shared" si="0"/>
        <v>44</v>
      </c>
      <c r="AG5" s="12" t="str">
        <f t="shared" si="1"/>
        <v>AJUSTAR</v>
      </c>
      <c r="AH5" s="6">
        <f t="shared" si="2"/>
        <v>2288</v>
      </c>
      <c r="AI5" s="9">
        <f t="shared" si="3"/>
        <v>4</v>
      </c>
      <c r="AJ5" s="13">
        <f>IF(LEFT($A5,8)="Tránsito",IFERROR(_xlfn.XLOOKUP(--$E5,'[1]Reserva Territorios'!$C:$C,'[1]Reserva Territorios'!$J:$J),0),0)</f>
        <v>0</v>
      </c>
      <c r="AK5" s="13">
        <f t="shared" si="4"/>
        <v>44</v>
      </c>
    </row>
    <row r="6" spans="1:37" ht="48.95" hidden="1" customHeight="1" x14ac:dyDescent="0.25">
      <c r="A6" s="3" t="s">
        <v>37</v>
      </c>
      <c r="B6" s="4" t="s">
        <v>38</v>
      </c>
      <c r="C6" s="4" t="s">
        <v>39</v>
      </c>
      <c r="D6" s="4" t="s">
        <v>54</v>
      </c>
      <c r="E6" s="4" t="s">
        <v>55</v>
      </c>
      <c r="F6" s="4" t="s">
        <v>56</v>
      </c>
      <c r="G6" s="4" t="s">
        <v>43</v>
      </c>
      <c r="H6" s="5">
        <v>46.5</v>
      </c>
      <c r="I6" s="6">
        <v>165</v>
      </c>
      <c r="J6" s="7">
        <f>ROUND(I6*[1]Parametros!$B$10,-3)</f>
        <v>589000</v>
      </c>
      <c r="K6" s="8">
        <v>0</v>
      </c>
      <c r="L6" s="9" t="str">
        <f>IF(MIN(N(INDEX([1]Parametros!B$16:B$20,MATCH($C6,[1]Parametros!$A$16:$A$20,0)))*$K6,N('[1]ATS USA'!K6))&lt;=0,"",MIN(N(INDEX([1]Parametros!B$16:B$20,MATCH($C6,[1]Parametros!$A$16:$A$20,0)))*$K6,N('[1]ATS USA'!K6)))</f>
        <v/>
      </c>
      <c r="M6" s="9" t="str">
        <f>IF(MIN(N(INDEX([1]Parametros!C$16:C$20,MATCH($C6,[1]Parametros!$A$16:$A$20,0)))*$K6,N('[1]ATS USA'!L6))&lt;=0,"",MIN(N(INDEX([1]Parametros!C$16:C$20,MATCH($C6,[1]Parametros!$A$16:$A$20,0)))*$K6,N('[1]ATS USA'!L6)))</f>
        <v/>
      </c>
      <c r="N6" s="9" t="str">
        <f>IF(MIN(N(INDEX([1]Parametros!D$16:D$20,MATCH($C6,[1]Parametros!$A$16:$A$20,0)))*$K6,N('[1]ATS USA'!M6))&lt;=0,"",MIN(N(INDEX([1]Parametros!D$16:D$20,MATCH($C6,[1]Parametros!$A$16:$A$20,0)))*$K6,N('[1]ATS USA'!M6)))</f>
        <v/>
      </c>
      <c r="O6" s="9" t="str">
        <f>IF(MIN(N(INDEX([1]Parametros!E$16:E$20,MATCH($C6,[1]Parametros!$A$16:$A$20,0)))*$K6,N('[1]ATS USA'!N6))&lt;=0,"",MIN(N(INDEX([1]Parametros!E$16:E$20,MATCH($C6,[1]Parametros!$A$16:$A$20,0)))*$K6,N('[1]ATS USA'!N6)))</f>
        <v/>
      </c>
      <c r="P6" s="9" t="str">
        <f>IF(MIN(N(INDEX([1]Parametros!F$16:F$20,MATCH($C6,[1]Parametros!$A$16:$A$20,0)))*$K6,N('[1]ATS USA'!O6))&lt;=0,"",MIN(N(INDEX([1]Parametros!F$16:F$20,MATCH($C6,[1]Parametros!$A$16:$A$20,0)))*$K6,N('[1]ATS USA'!O6)))</f>
        <v/>
      </c>
      <c r="Q6" s="9" t="str">
        <f>IF(MIN(N(INDEX([1]Parametros!G$16:G$20,MATCH($C6,[1]Parametros!$A$16:$A$20,0)))*$K6,N('[1]ATS USA'!P6))&lt;=0,"",MIN(N(INDEX([1]Parametros!G$16:G$20,MATCH($C6,[1]Parametros!$A$16:$A$20,0)))*$K6,N('[1]ATS USA'!P6)))</f>
        <v/>
      </c>
      <c r="R6" s="9" t="str">
        <f>IF(MIN(N(INDEX([1]Parametros!H$16:H$20,MATCH($C6,[1]Parametros!$A$16:$A$20,0)))*$K6,N('[1]ATS USA'!Q6))&lt;=0,"",MIN(N(INDEX([1]Parametros!H$16:H$20,MATCH($C6,[1]Parametros!$A$16:$A$20,0)))*$K6,N('[1]ATS USA'!Q6)))</f>
        <v/>
      </c>
      <c r="S6" s="9" t="str">
        <f>IF(MIN(N(INDEX([1]Parametros!I$16:I$20,MATCH($C6,[1]Parametros!$A$16:$A$20,0)))*$K6,N('[1]ATS USA'!R6))&lt;=0,"",MIN(N(INDEX([1]Parametros!I$16:I$20,MATCH($C6,[1]Parametros!$A$16:$A$20,0)))*$K6,N('[1]ATS USA'!R6)))</f>
        <v/>
      </c>
      <c r="T6" s="10" t="str">
        <f>IF(MIN(N(INDEX([1]Parametros!J$16:J$20,MATCH($C6,[1]Parametros!$A$16:$A$20,0)))*$K6,N('[1]ATS USA'!S6))&lt;=0,"",MIN(N(INDEX([1]Parametros!J$16:J$20,MATCH($C6,[1]Parametros!$A$16:$A$20,0)))*$K6,N('[1]ATS USA'!S6)))</f>
        <v/>
      </c>
      <c r="U6" s="9" t="str">
        <f>IF(MIN(N(INDEX([1]Parametros!K$16:K$20,MATCH($C6,[1]Parametros!$A$16:$A$20,0)))*$K6,N('[1]ATS USA'!T6))&lt;=0,"",MIN(N(INDEX([1]Parametros!K$16:K$20,MATCH($C6,[1]Parametros!$A$16:$A$20,0)))*$K6,N('[1]ATS USA'!T6)))</f>
        <v/>
      </c>
      <c r="V6" s="10" t="str">
        <f>IF(MIN(N(INDEX([1]Parametros!L$16:L$20,MATCH($C6,[1]Parametros!$A$16:$A$20,0)))*$K6,N('[1]ATS USA'!U6))&lt;=0,"",MIN(N(INDEX([1]Parametros!L$16:L$20,MATCH($C6,[1]Parametros!$A$16:$A$20,0)))*$K6,N('[1]ATS USA'!U6)))</f>
        <v/>
      </c>
      <c r="W6" s="10" t="str">
        <f>IF(MIN(N(INDEX([1]Parametros!M$16:M$20,MATCH($C6,[1]Parametros!$A$16:$A$20,0)))*$K6,N('[1]ATS USA'!V6))&lt;=0,"",MIN(N(INDEX([1]Parametros!M$16:M$20,MATCH($C6,[1]Parametros!$A$16:$A$20,0)))*$K6,N('[1]ATS USA'!V6)))</f>
        <v/>
      </c>
      <c r="X6" s="10" t="str">
        <f>IF(MIN(N(INDEX([1]Parametros!N$16:N$20,MATCH($C6,[1]Parametros!$A$16:$A$20,0)))*$K6,N('[1]ATS USA'!W6))&lt;=0,"",MIN(N(INDEX([1]Parametros!N$16:N$20,MATCH($C6,[1]Parametros!$A$16:$A$20,0)))*$K6,N('[1]ATS USA'!W6)))</f>
        <v/>
      </c>
      <c r="Y6" s="10" t="str">
        <f>IF(MIN(N(INDEX([1]Parametros!O$16:O$20,MATCH($C6,[1]Parametros!$A$16:$A$20,0)))*$K6,N('[1]ATS USA'!X6))&lt;=0,"",MIN(N(INDEX([1]Parametros!O$16:O$20,MATCH($C6,[1]Parametros!$A$16:$A$20,0)))*$K6,N('[1]ATS USA'!X6)))</f>
        <v/>
      </c>
      <c r="Z6" s="10" t="str">
        <f>IF(MIN(N(INDEX([1]Parametros!P$16:P$20,MATCH($C6,[1]Parametros!$A$16:$A$20,0)))*$K6,N('[1]ATS USA'!Y6))&lt;=0,"",MIN(N(INDEX([1]Parametros!P$16:P$20,MATCH($C6,[1]Parametros!$A$16:$A$20,0)))*$K6,N('[1]ATS USA'!Y6)))</f>
        <v/>
      </c>
      <c r="AA6" s="9" t="str">
        <f>IF(MIN(N(INDEX([1]Parametros!Q$16:Q$20,MATCH($C6,[1]Parametros!$A$16:$A$20,0)))*$K6,N('[1]ATS USA'!Z6))&lt;=0,"",MIN(N(INDEX([1]Parametros!Q$16:Q$20,MATCH($C6,[1]Parametros!$A$16:$A$20,0)))*$K6,N('[1]ATS USA'!Z6)))</f>
        <v/>
      </c>
      <c r="AB6" s="10" t="str">
        <f>IF(MIN(N(INDEX([1]Parametros!R$16:R$20,MATCH($C6,[1]Parametros!$A$16:$A$20,0)))*$K6,N('[1]ATS USA'!AA6))&lt;=0,"",MIN(N(INDEX([1]Parametros!R$16:R$20,MATCH($C6,[1]Parametros!$A$16:$A$20,0)))*$K6,N('[1]ATS USA'!AA6)))</f>
        <v/>
      </c>
      <c r="AC6" s="9" t="str">
        <f>IF(MIN(N(INDEX([1]Parametros!S$16:S$20,MATCH($C6,[1]Parametros!$A$16:$A$20,0)))*$K6,N('[1]ATS USA'!AB6))&lt;=0,"",MIN(N(INDEX([1]Parametros!S$16:S$20,MATCH($C6,[1]Parametros!$A$16:$A$20,0)))*$K6,N('[1]ATS USA'!AB6)))</f>
        <v/>
      </c>
      <c r="AD6" s="10" t="str">
        <f>IF(MIN(N(INDEX([1]Parametros!T$16:T$20,MATCH($C6,[1]Parametros!$A$16:$A$20,0)))*$K6,N('[1]ATS USA'!AC6))&lt;=0,"",MIN(N(INDEX([1]Parametros!T$16:T$20,MATCH($C6,[1]Parametros!$A$16:$A$20,0)))*$K6,N('[1]ATS USA'!AC6)))</f>
        <v/>
      </c>
      <c r="AE6" s="9" t="str">
        <f>IF(MIN(N(INDEX([1]Parametros!U$16:U$20,MATCH($C6,[1]Parametros!$A$16:$A$20,0)))*$K6,N('[1]ATS USA'!AD6))&lt;=0,"",MIN(N(INDEX([1]Parametros!U$16:U$20,MATCH($C6,[1]Parametros!$A$16:$A$20,0)))*$K6,N('[1]ATS USA'!AD6)))</f>
        <v/>
      </c>
      <c r="AF6" s="11">
        <f t="shared" si="0"/>
        <v>0</v>
      </c>
      <c r="AG6" s="12" t="str">
        <f t="shared" si="1"/>
        <v>OK</v>
      </c>
      <c r="AH6" s="6">
        <f t="shared" si="2"/>
        <v>0</v>
      </c>
      <c r="AI6" s="9">
        <f t="shared" si="3"/>
        <v>0</v>
      </c>
      <c r="AJ6" s="13">
        <f>IF(LEFT($A6,8)="Tránsito",IFERROR(_xlfn.XLOOKUP(--$E6,'[1]Reserva Territorios'!$C:$C,'[1]Reserva Territorios'!$J:$J),0),0)</f>
        <v>0</v>
      </c>
      <c r="AK6" s="13">
        <f t="shared" si="4"/>
        <v>0</v>
      </c>
    </row>
    <row r="7" spans="1:37" ht="48.95" customHeight="1" x14ac:dyDescent="0.25">
      <c r="A7" s="3" t="s">
        <v>37</v>
      </c>
      <c r="B7" s="4" t="s">
        <v>38</v>
      </c>
      <c r="C7" s="4" t="s">
        <v>39</v>
      </c>
      <c r="D7" s="4" t="s">
        <v>57</v>
      </c>
      <c r="E7" s="4" t="s">
        <v>58</v>
      </c>
      <c r="F7" s="4" t="s">
        <v>59</v>
      </c>
      <c r="G7" s="4" t="s">
        <v>60</v>
      </c>
      <c r="H7" s="5">
        <v>33.5</v>
      </c>
      <c r="I7" s="6">
        <v>115</v>
      </c>
      <c r="J7" s="7">
        <f>ROUND(I7*[1]Parametros!$B$10,-3)</f>
        <v>410000</v>
      </c>
      <c r="K7" s="8">
        <v>3</v>
      </c>
      <c r="L7" s="9" t="str">
        <f>IF(MIN(N(INDEX([1]Parametros!B$16:B$20,MATCH($C7,[1]Parametros!$A$16:$A$20,0)))*$K7,N('[1]ATS USA'!K7))&lt;=0,"",MIN(N(INDEX([1]Parametros!B$16:B$20,MATCH($C7,[1]Parametros!$A$16:$A$20,0)))*$K7,N('[1]ATS USA'!K7)))</f>
        <v/>
      </c>
      <c r="M7" s="9" t="str">
        <f>IF(MIN(N(INDEX([1]Parametros!C$16:C$20,MATCH($C7,[1]Parametros!$A$16:$A$20,0)))*$K7,N('[1]ATS USA'!L7))&lt;=0,"",MIN(N(INDEX([1]Parametros!C$16:C$20,MATCH($C7,[1]Parametros!$A$16:$A$20,0)))*$K7,N('[1]ATS USA'!L7)))</f>
        <v/>
      </c>
      <c r="N7" s="9" t="str">
        <f>IF(MIN(N(INDEX([1]Parametros!D$16:D$20,MATCH($C7,[1]Parametros!$A$16:$A$20,0)))*$K7,N('[1]ATS USA'!M7))&lt;=0,"",MIN(N(INDEX([1]Parametros!D$16:D$20,MATCH($C7,[1]Parametros!$A$16:$A$20,0)))*$K7,N('[1]ATS USA'!M7)))</f>
        <v/>
      </c>
      <c r="O7" s="9" t="str">
        <f>IF(MIN(N(INDEX([1]Parametros!E$16:E$20,MATCH($C7,[1]Parametros!$A$16:$A$20,0)))*$K7,N('[1]ATS USA'!N7))&lt;=0,"",MIN(N(INDEX([1]Parametros!E$16:E$20,MATCH($C7,[1]Parametros!$A$16:$A$20,0)))*$K7,N('[1]ATS USA'!N7)))</f>
        <v/>
      </c>
      <c r="P7" s="9" t="str">
        <f>IF(MIN(N(INDEX([1]Parametros!F$16:F$20,MATCH($C7,[1]Parametros!$A$16:$A$20,0)))*$K7,N('[1]ATS USA'!O7))&lt;=0,"",MIN(N(INDEX([1]Parametros!F$16:F$20,MATCH($C7,[1]Parametros!$A$16:$A$20,0)))*$K7,N('[1]ATS USA'!O7)))</f>
        <v/>
      </c>
      <c r="Q7" s="9" t="str">
        <f>IF(MIN(N(INDEX([1]Parametros!G$16:G$20,MATCH($C7,[1]Parametros!$A$16:$A$20,0)))*$K7,N('[1]ATS USA'!P7))&lt;=0,"",MIN(N(INDEX([1]Parametros!G$16:G$20,MATCH($C7,[1]Parametros!$A$16:$A$20,0)))*$K7,N('[1]ATS USA'!P7)))</f>
        <v/>
      </c>
      <c r="R7" s="9" t="str">
        <f>IF(MIN(N(INDEX([1]Parametros!H$16:H$20,MATCH($C7,[1]Parametros!$A$16:$A$20,0)))*$K7,N('[1]ATS USA'!Q7))&lt;=0,"",MIN(N(INDEX([1]Parametros!H$16:H$20,MATCH($C7,[1]Parametros!$A$16:$A$20,0)))*$K7,N('[1]ATS USA'!Q7)))</f>
        <v/>
      </c>
      <c r="S7" s="9" t="str">
        <f>IF(MIN(N(INDEX([1]Parametros!I$16:I$20,MATCH($C7,[1]Parametros!$A$16:$A$20,0)))*$K7,N('[1]ATS USA'!R7))&lt;=0,"",MIN(N(INDEX([1]Parametros!I$16:I$20,MATCH($C7,[1]Parametros!$A$16:$A$20,0)))*$K7,N('[1]ATS USA'!R7)))</f>
        <v/>
      </c>
      <c r="T7" s="10">
        <f>IF(MIN(N(INDEX([1]Parametros!J$16:J$20,MATCH($C7,[1]Parametros!$A$16:$A$20,0)))*$K7,N('[1]ATS USA'!S7))&lt;=0,"",MIN(N(INDEX([1]Parametros!J$16:J$20,MATCH($C7,[1]Parametros!$A$16:$A$20,0)))*$K7,N('[1]ATS USA'!S7)))</f>
        <v>3</v>
      </c>
      <c r="U7" s="9">
        <f>IF(MIN(N(INDEX([1]Parametros!K$16:K$20,MATCH($C7,[1]Parametros!$A$16:$A$20,0)))*$K7,N('[1]ATS USA'!T7))&lt;=0,"",MIN(N(INDEX([1]Parametros!K$16:K$20,MATCH($C7,[1]Parametros!$A$16:$A$20,0)))*$K7,N('[1]ATS USA'!T7)))</f>
        <v>3</v>
      </c>
      <c r="V7" s="10">
        <f>IF(MIN(N(INDEX([1]Parametros!L$16:L$20,MATCH($C7,[1]Parametros!$A$16:$A$20,0)))*$K7,N('[1]ATS USA'!U7))&lt;=0,"",MIN(N(INDEX([1]Parametros!L$16:L$20,MATCH($C7,[1]Parametros!$A$16:$A$20,0)))*$K7,N('[1]ATS USA'!U7)))</f>
        <v>3</v>
      </c>
      <c r="W7" s="10">
        <f>IF(MIN(N(INDEX([1]Parametros!M$16:M$20,MATCH($C7,[1]Parametros!$A$16:$A$20,0)))*$K7,N('[1]ATS USA'!V7))&lt;=0,"",MIN(N(INDEX([1]Parametros!M$16:M$20,MATCH($C7,[1]Parametros!$A$16:$A$20,0)))*$K7,N('[1]ATS USA'!V7)))</f>
        <v>6</v>
      </c>
      <c r="X7" s="10">
        <f>IF(MIN(N(INDEX([1]Parametros!N$16:N$20,MATCH($C7,[1]Parametros!$A$16:$A$20,0)))*$K7,N('[1]ATS USA'!W7))&lt;=0,"",MIN(N(INDEX([1]Parametros!N$16:N$20,MATCH($C7,[1]Parametros!$A$16:$A$20,0)))*$K7,N('[1]ATS USA'!W7)))</f>
        <v>6</v>
      </c>
      <c r="Y7" s="10">
        <f>IF(MIN(N(INDEX([1]Parametros!O$16:O$20,MATCH($C7,[1]Parametros!$A$16:$A$20,0)))*$K7,N('[1]ATS USA'!X7))&lt;=0,"",MIN(N(INDEX([1]Parametros!O$16:O$20,MATCH($C7,[1]Parametros!$A$16:$A$20,0)))*$K7,N('[1]ATS USA'!X7)))</f>
        <v>6</v>
      </c>
      <c r="Z7" s="10">
        <f>IF(MIN(N(INDEX([1]Parametros!P$16:P$20,MATCH($C7,[1]Parametros!$A$16:$A$20,0)))*$K7,N('[1]ATS USA'!Y7))&lt;=0,"",MIN(N(INDEX([1]Parametros!P$16:P$20,MATCH($C7,[1]Parametros!$A$16:$A$20,0)))*$K7,N('[1]ATS USA'!Y7)))</f>
        <v>3</v>
      </c>
      <c r="AA7" s="9">
        <f>IF(MIN(N(INDEX([1]Parametros!Q$16:Q$20,MATCH($C7,[1]Parametros!$A$16:$A$20,0)))*$K7,N('[1]ATS USA'!Z7))&lt;=0,"",MIN(N(INDEX([1]Parametros!Q$16:Q$20,MATCH($C7,[1]Parametros!$A$16:$A$20,0)))*$K7,N('[1]ATS USA'!Z7)))</f>
        <v>3</v>
      </c>
      <c r="AB7" s="10">
        <f>IF(MIN(N(INDEX([1]Parametros!R$16:R$20,MATCH($C7,[1]Parametros!$A$16:$A$20,0)))*$K7,N('[1]ATS USA'!AA7))&lt;=0,"",MIN(N(INDEX([1]Parametros!R$16:R$20,MATCH($C7,[1]Parametros!$A$16:$A$20,0)))*$K7,N('[1]ATS USA'!AA7)))</f>
        <v>3</v>
      </c>
      <c r="AC7" s="9" t="str">
        <f>IF(MIN(N(INDEX([1]Parametros!S$16:S$20,MATCH($C7,[1]Parametros!$A$16:$A$20,0)))*$K7,N('[1]ATS USA'!AB7))&lt;=0,"",MIN(N(INDEX([1]Parametros!S$16:S$20,MATCH($C7,[1]Parametros!$A$16:$A$20,0)))*$K7,N('[1]ATS USA'!AB7)))</f>
        <v/>
      </c>
      <c r="AD7" s="10" t="str">
        <f>IF(MIN(N(INDEX([1]Parametros!T$16:T$20,MATCH($C7,[1]Parametros!$A$16:$A$20,0)))*$K7,N('[1]ATS USA'!AC7))&lt;=0,"",MIN(N(INDEX([1]Parametros!T$16:T$20,MATCH($C7,[1]Parametros!$A$16:$A$20,0)))*$K7,N('[1]ATS USA'!AC7)))</f>
        <v/>
      </c>
      <c r="AE7" s="9" t="str">
        <f>IF(MIN(N(INDEX([1]Parametros!U$16:U$20,MATCH($C7,[1]Parametros!$A$16:$A$20,0)))*$K7,N('[1]ATS USA'!AD7))&lt;=0,"",MIN(N(INDEX([1]Parametros!U$16:U$20,MATCH($C7,[1]Parametros!$A$16:$A$20,0)))*$K7,N('[1]ATS USA'!AD7)))</f>
        <v/>
      </c>
      <c r="AF7" s="11">
        <f t="shared" si="0"/>
        <v>36</v>
      </c>
      <c r="AG7" s="12" t="str">
        <f t="shared" si="1"/>
        <v>OK</v>
      </c>
      <c r="AH7" s="6">
        <f t="shared" si="2"/>
        <v>1206</v>
      </c>
      <c r="AI7" s="9">
        <f t="shared" si="3"/>
        <v>0</v>
      </c>
      <c r="AJ7" s="13">
        <f>IF(LEFT($A7,8)="Tránsito",IFERROR(_xlfn.XLOOKUP(--$E7,'[1]Reserva Territorios'!$C:$C,'[1]Reserva Territorios'!$J:$J),0),0)</f>
        <v>0</v>
      </c>
      <c r="AK7" s="13">
        <f t="shared" si="4"/>
        <v>36</v>
      </c>
    </row>
    <row r="8" spans="1:37" ht="48.95" hidden="1" customHeight="1" x14ac:dyDescent="0.25">
      <c r="A8" s="3" t="s">
        <v>37</v>
      </c>
      <c r="B8" s="4" t="s">
        <v>38</v>
      </c>
      <c r="C8" s="4" t="s">
        <v>39</v>
      </c>
      <c r="D8" s="4" t="s">
        <v>57</v>
      </c>
      <c r="E8" s="4" t="s">
        <v>61</v>
      </c>
      <c r="F8" s="4" t="s">
        <v>62</v>
      </c>
      <c r="G8" s="4" t="s">
        <v>63</v>
      </c>
      <c r="H8" s="5">
        <v>33.5</v>
      </c>
      <c r="I8" s="6">
        <v>115</v>
      </c>
      <c r="J8" s="7">
        <f>ROUND(I8*[1]Parametros!$B$10,-3)</f>
        <v>410000</v>
      </c>
      <c r="K8" s="8">
        <v>0</v>
      </c>
      <c r="L8" s="9" t="str">
        <f>IF(MIN(N(INDEX([1]Parametros!B$16:B$20,MATCH($C8,[1]Parametros!$A$16:$A$20,0)))*$K8,N('[1]ATS USA'!K8))&lt;=0,"",MIN(N(INDEX([1]Parametros!B$16:B$20,MATCH($C8,[1]Parametros!$A$16:$A$20,0)))*$K8,N('[1]ATS USA'!K8)))</f>
        <v/>
      </c>
      <c r="M8" s="9" t="str">
        <f>IF(MIN(N(INDEX([1]Parametros!C$16:C$20,MATCH($C8,[1]Parametros!$A$16:$A$20,0)))*$K8,N('[1]ATS USA'!L8))&lt;=0,"",MIN(N(INDEX([1]Parametros!C$16:C$20,MATCH($C8,[1]Parametros!$A$16:$A$20,0)))*$K8,N('[1]ATS USA'!L8)))</f>
        <v/>
      </c>
      <c r="N8" s="9" t="str">
        <f>IF(MIN(N(INDEX([1]Parametros!D$16:D$20,MATCH($C8,[1]Parametros!$A$16:$A$20,0)))*$K8,N('[1]ATS USA'!M8))&lt;=0,"",MIN(N(INDEX([1]Parametros!D$16:D$20,MATCH($C8,[1]Parametros!$A$16:$A$20,0)))*$K8,N('[1]ATS USA'!M8)))</f>
        <v/>
      </c>
      <c r="O8" s="9" t="str">
        <f>IF(MIN(N(INDEX([1]Parametros!E$16:E$20,MATCH($C8,[1]Parametros!$A$16:$A$20,0)))*$K8,N('[1]ATS USA'!N8))&lt;=0,"",MIN(N(INDEX([1]Parametros!E$16:E$20,MATCH($C8,[1]Parametros!$A$16:$A$20,0)))*$K8,N('[1]ATS USA'!N8)))</f>
        <v/>
      </c>
      <c r="P8" s="9" t="str">
        <f>IF(MIN(N(INDEX([1]Parametros!F$16:F$20,MATCH($C8,[1]Parametros!$A$16:$A$20,0)))*$K8,N('[1]ATS USA'!O8))&lt;=0,"",MIN(N(INDEX([1]Parametros!F$16:F$20,MATCH($C8,[1]Parametros!$A$16:$A$20,0)))*$K8,N('[1]ATS USA'!O8)))</f>
        <v/>
      </c>
      <c r="Q8" s="9" t="str">
        <f>IF(MIN(N(INDEX([1]Parametros!G$16:G$20,MATCH($C8,[1]Parametros!$A$16:$A$20,0)))*$K8,N('[1]ATS USA'!P8))&lt;=0,"",MIN(N(INDEX([1]Parametros!G$16:G$20,MATCH($C8,[1]Parametros!$A$16:$A$20,0)))*$K8,N('[1]ATS USA'!P8)))</f>
        <v/>
      </c>
      <c r="R8" s="9" t="str">
        <f>IF(MIN(N(INDEX([1]Parametros!H$16:H$20,MATCH($C8,[1]Parametros!$A$16:$A$20,0)))*$K8,N('[1]ATS USA'!Q8))&lt;=0,"",MIN(N(INDEX([1]Parametros!H$16:H$20,MATCH($C8,[1]Parametros!$A$16:$A$20,0)))*$K8,N('[1]ATS USA'!Q8)))</f>
        <v/>
      </c>
      <c r="S8" s="9" t="str">
        <f>IF(MIN(N(INDEX([1]Parametros!I$16:I$20,MATCH($C8,[1]Parametros!$A$16:$A$20,0)))*$K8,N('[1]ATS USA'!R8))&lt;=0,"",MIN(N(INDEX([1]Parametros!I$16:I$20,MATCH($C8,[1]Parametros!$A$16:$A$20,0)))*$K8,N('[1]ATS USA'!R8)))</f>
        <v/>
      </c>
      <c r="T8" s="9" t="str">
        <f>IF(MIN(N(INDEX([1]Parametros!J$16:J$20,MATCH($C8,[1]Parametros!$A$16:$A$20,0)))*$K8,N('[1]ATS USA'!S8))&lt;=0,"",MIN(N(INDEX([1]Parametros!J$16:J$20,MATCH($C8,[1]Parametros!$A$16:$A$20,0)))*$K8,N('[1]ATS USA'!S8)))</f>
        <v/>
      </c>
      <c r="U8" s="9" t="str">
        <f>IF(MIN(N(INDEX([1]Parametros!K$16:K$20,MATCH($C8,[1]Parametros!$A$16:$A$20,0)))*$K8,N('[1]ATS USA'!T8))&lt;=0,"",MIN(N(INDEX([1]Parametros!K$16:K$20,MATCH($C8,[1]Parametros!$A$16:$A$20,0)))*$K8,N('[1]ATS USA'!T8)))</f>
        <v/>
      </c>
      <c r="V8" s="10" t="str">
        <f>IF(MIN(N(INDEX([1]Parametros!L$16:L$20,MATCH($C8,[1]Parametros!$A$16:$A$20,0)))*$K8,N('[1]ATS USA'!U8))&lt;=0,"",MIN(N(INDEX([1]Parametros!L$16:L$20,MATCH($C8,[1]Parametros!$A$16:$A$20,0)))*$K8,N('[1]ATS USA'!U8)))</f>
        <v/>
      </c>
      <c r="W8" s="10" t="str">
        <f>IF(MIN(N(INDEX([1]Parametros!M$16:M$20,MATCH($C8,[1]Parametros!$A$16:$A$20,0)))*$K8,N('[1]ATS USA'!V8))&lt;=0,"",MIN(N(INDEX([1]Parametros!M$16:M$20,MATCH($C8,[1]Parametros!$A$16:$A$20,0)))*$K8,N('[1]ATS USA'!V8)))</f>
        <v/>
      </c>
      <c r="X8" s="10" t="str">
        <f>IF(MIN(N(INDEX([1]Parametros!N$16:N$20,MATCH($C8,[1]Parametros!$A$16:$A$20,0)))*$K8,N('[1]ATS USA'!W8))&lt;=0,"",MIN(N(INDEX([1]Parametros!N$16:N$20,MATCH($C8,[1]Parametros!$A$16:$A$20,0)))*$K8,N('[1]ATS USA'!W8)))</f>
        <v/>
      </c>
      <c r="Y8" s="10" t="str">
        <f>IF(MIN(N(INDEX([1]Parametros!O$16:O$20,MATCH($C8,[1]Parametros!$A$16:$A$20,0)))*$K8,N('[1]ATS USA'!X8))&lt;=0,"",MIN(N(INDEX([1]Parametros!O$16:O$20,MATCH($C8,[1]Parametros!$A$16:$A$20,0)))*$K8,N('[1]ATS USA'!X8)))</f>
        <v/>
      </c>
      <c r="Z8" s="10" t="str">
        <f>IF(MIN(N(INDEX([1]Parametros!P$16:P$20,MATCH($C8,[1]Parametros!$A$16:$A$20,0)))*$K8,N('[1]ATS USA'!Y8))&lt;=0,"",MIN(N(INDEX([1]Parametros!P$16:P$20,MATCH($C8,[1]Parametros!$A$16:$A$20,0)))*$K8,N('[1]ATS USA'!Y8)))</f>
        <v/>
      </c>
      <c r="AA8" s="9" t="str">
        <f>IF(MIN(N(INDEX([1]Parametros!Q$16:Q$20,MATCH($C8,[1]Parametros!$A$16:$A$20,0)))*$K8,N('[1]ATS USA'!Z8))&lt;=0,"",MIN(N(INDEX([1]Parametros!Q$16:Q$20,MATCH($C8,[1]Parametros!$A$16:$A$20,0)))*$K8,N('[1]ATS USA'!Z8)))</f>
        <v/>
      </c>
      <c r="AB8" s="10" t="str">
        <f>IF(MIN(N(INDEX([1]Parametros!R$16:R$20,MATCH($C8,[1]Parametros!$A$16:$A$20,0)))*$K8,N('[1]ATS USA'!AA8))&lt;=0,"",MIN(N(INDEX([1]Parametros!R$16:R$20,MATCH($C8,[1]Parametros!$A$16:$A$20,0)))*$K8,N('[1]ATS USA'!AA8)))</f>
        <v/>
      </c>
      <c r="AC8" s="9" t="str">
        <f>IF(MIN(N(INDEX([1]Parametros!S$16:S$20,MATCH($C8,[1]Parametros!$A$16:$A$20,0)))*$K8,N('[1]ATS USA'!AB8))&lt;=0,"",MIN(N(INDEX([1]Parametros!S$16:S$20,MATCH($C8,[1]Parametros!$A$16:$A$20,0)))*$K8,N('[1]ATS USA'!AB8)))</f>
        <v/>
      </c>
      <c r="AD8" s="10" t="str">
        <f>IF(MIN(N(INDEX([1]Parametros!T$16:T$20,MATCH($C8,[1]Parametros!$A$16:$A$20,0)))*$K8,N('[1]ATS USA'!AC8))&lt;=0,"",MIN(N(INDEX([1]Parametros!T$16:T$20,MATCH($C8,[1]Parametros!$A$16:$A$20,0)))*$K8,N('[1]ATS USA'!AC8)))</f>
        <v/>
      </c>
      <c r="AE8" s="9" t="str">
        <f>IF(MIN(N(INDEX([1]Parametros!U$16:U$20,MATCH($C8,[1]Parametros!$A$16:$A$20,0)))*$K8,N('[1]ATS USA'!AD8))&lt;=0,"",MIN(N(INDEX([1]Parametros!U$16:U$20,MATCH($C8,[1]Parametros!$A$16:$A$20,0)))*$K8,N('[1]ATS USA'!AD8)))</f>
        <v/>
      </c>
      <c r="AF8" s="11">
        <f t="shared" si="0"/>
        <v>0</v>
      </c>
      <c r="AG8" s="12" t="str">
        <f t="shared" si="1"/>
        <v>OK</v>
      </c>
      <c r="AH8" s="6">
        <f t="shared" si="2"/>
        <v>0</v>
      </c>
      <c r="AI8" s="9">
        <f t="shared" si="3"/>
        <v>0</v>
      </c>
      <c r="AJ8" s="13">
        <f>IF(LEFT($A8,8)="Tránsito",IFERROR(_xlfn.XLOOKUP(--$E8,'[1]Reserva Territorios'!$C:$C,'[1]Reserva Territorios'!$J:$J),0),0)</f>
        <v>0</v>
      </c>
      <c r="AK8" s="13">
        <f t="shared" si="4"/>
        <v>0</v>
      </c>
    </row>
    <row r="9" spans="1:37" ht="48.95" customHeight="1" x14ac:dyDescent="0.25">
      <c r="A9" s="3" t="s">
        <v>37</v>
      </c>
      <c r="B9" s="4" t="s">
        <v>38</v>
      </c>
      <c r="C9" s="4" t="s">
        <v>39</v>
      </c>
      <c r="D9" s="4" t="s">
        <v>64</v>
      </c>
      <c r="E9" s="4" t="s">
        <v>65</v>
      </c>
      <c r="F9" s="4" t="s">
        <v>66</v>
      </c>
      <c r="G9" s="4" t="s">
        <v>67</v>
      </c>
      <c r="H9" s="5">
        <v>39</v>
      </c>
      <c r="I9" s="6">
        <v>135</v>
      </c>
      <c r="J9" s="7">
        <f>ROUND(I9*[1]Parametros!$B$10,-3)</f>
        <v>482000</v>
      </c>
      <c r="K9" s="8">
        <v>3</v>
      </c>
      <c r="L9" s="9" t="str">
        <f>IF(MIN(N(INDEX([1]Parametros!B$16:B$20,MATCH($C9,[1]Parametros!$A$16:$A$20,0)))*$K9,N('[1]ATS USA'!K9))&lt;=0,"",MIN(N(INDEX([1]Parametros!B$16:B$20,MATCH($C9,[1]Parametros!$A$16:$A$20,0)))*$K9,N('[1]ATS USA'!K9)))</f>
        <v/>
      </c>
      <c r="M9" s="9" t="str">
        <f>IF(MIN(N(INDEX([1]Parametros!C$16:C$20,MATCH($C9,[1]Parametros!$A$16:$A$20,0)))*$K9,N('[1]ATS USA'!L9))&lt;=0,"",MIN(N(INDEX([1]Parametros!C$16:C$20,MATCH($C9,[1]Parametros!$A$16:$A$20,0)))*$K9,N('[1]ATS USA'!L9)))</f>
        <v/>
      </c>
      <c r="N9" s="9" t="str">
        <f>IF(MIN(N(INDEX([1]Parametros!D$16:D$20,MATCH($C9,[1]Parametros!$A$16:$A$20,0)))*$K9,N('[1]ATS USA'!M9))&lt;=0,"",MIN(N(INDEX([1]Parametros!D$16:D$20,MATCH($C9,[1]Parametros!$A$16:$A$20,0)))*$K9,N('[1]ATS USA'!M9)))</f>
        <v/>
      </c>
      <c r="O9" s="9" t="str">
        <f>IF(MIN(N(INDEX([1]Parametros!E$16:E$20,MATCH($C9,[1]Parametros!$A$16:$A$20,0)))*$K9,N('[1]ATS USA'!N9))&lt;=0,"",MIN(N(INDEX([1]Parametros!E$16:E$20,MATCH($C9,[1]Parametros!$A$16:$A$20,0)))*$K9,N('[1]ATS USA'!N9)))</f>
        <v/>
      </c>
      <c r="P9" s="9" t="str">
        <f>IF(MIN(N(INDEX([1]Parametros!F$16:F$20,MATCH($C9,[1]Parametros!$A$16:$A$20,0)))*$K9,N('[1]ATS USA'!O9))&lt;=0,"",MIN(N(INDEX([1]Parametros!F$16:F$20,MATCH($C9,[1]Parametros!$A$16:$A$20,0)))*$K9,N('[1]ATS USA'!O9)))</f>
        <v/>
      </c>
      <c r="Q9" s="9" t="str">
        <f>IF(MIN(N(INDEX([1]Parametros!G$16:G$20,MATCH($C9,[1]Parametros!$A$16:$A$20,0)))*$K9,N('[1]ATS USA'!P9))&lt;=0,"",MIN(N(INDEX([1]Parametros!G$16:G$20,MATCH($C9,[1]Parametros!$A$16:$A$20,0)))*$K9,N('[1]ATS USA'!P9)))</f>
        <v/>
      </c>
      <c r="R9" s="9" t="str">
        <f>IF(MIN(N(INDEX([1]Parametros!H$16:H$20,MATCH($C9,[1]Parametros!$A$16:$A$20,0)))*$K9,N('[1]ATS USA'!Q9))&lt;=0,"",MIN(N(INDEX([1]Parametros!H$16:H$20,MATCH($C9,[1]Parametros!$A$16:$A$20,0)))*$K9,N('[1]ATS USA'!Q9)))</f>
        <v/>
      </c>
      <c r="S9" s="9" t="str">
        <f>IF(MIN(N(INDEX([1]Parametros!I$16:I$20,MATCH($C9,[1]Parametros!$A$16:$A$20,0)))*$K9,N('[1]ATS USA'!R9))&lt;=0,"",MIN(N(INDEX([1]Parametros!I$16:I$20,MATCH($C9,[1]Parametros!$A$16:$A$20,0)))*$K9,N('[1]ATS USA'!R9)))</f>
        <v/>
      </c>
      <c r="T9" s="9" t="str">
        <f>IF(MIN(N(INDEX([1]Parametros!J$16:J$20,MATCH($C9,[1]Parametros!$A$16:$A$20,0)))*$K9,N('[1]ATS USA'!S9))&lt;=0,"",MIN(N(INDEX([1]Parametros!J$16:J$20,MATCH($C9,[1]Parametros!$A$16:$A$20,0)))*$K9,N('[1]ATS USA'!S9)))</f>
        <v/>
      </c>
      <c r="U9" s="9" t="str">
        <f>IF(MIN(N(INDEX([1]Parametros!K$16:K$20,MATCH($C9,[1]Parametros!$A$16:$A$20,0)))*$K9,N('[1]ATS USA'!T9))&lt;=0,"",MIN(N(INDEX([1]Parametros!K$16:K$20,MATCH($C9,[1]Parametros!$A$16:$A$20,0)))*$K9,N('[1]ATS USA'!T9)))</f>
        <v/>
      </c>
      <c r="V9" s="10">
        <f>IF(MIN(N(INDEX([1]Parametros!L$16:L$20,MATCH($C9,[1]Parametros!$A$16:$A$20,0)))*$K9,N('[1]ATS USA'!U9))&lt;=0,"",MIN(N(INDEX([1]Parametros!L$16:L$20,MATCH($C9,[1]Parametros!$A$16:$A$20,0)))*$K9,N('[1]ATS USA'!U9)))</f>
        <v>3</v>
      </c>
      <c r="W9" s="10">
        <f>IF(MIN(N(INDEX([1]Parametros!M$16:M$20,MATCH($C9,[1]Parametros!$A$16:$A$20,0)))*$K9,N('[1]ATS USA'!V9))&lt;=0,"",MIN(N(INDEX([1]Parametros!M$16:M$20,MATCH($C9,[1]Parametros!$A$16:$A$20,0)))*$K9,N('[1]ATS USA'!V9)))</f>
        <v>6</v>
      </c>
      <c r="X9" s="10">
        <f>IF(MIN(N(INDEX([1]Parametros!N$16:N$20,MATCH($C9,[1]Parametros!$A$16:$A$20,0)))*$K9,N('[1]ATS USA'!W9))&lt;=0,"",MIN(N(INDEX([1]Parametros!N$16:N$20,MATCH($C9,[1]Parametros!$A$16:$A$20,0)))*$K9,N('[1]ATS USA'!W9)))</f>
        <v>6</v>
      </c>
      <c r="Y9" s="10">
        <f>IF(MIN(N(INDEX([1]Parametros!O$16:O$20,MATCH($C9,[1]Parametros!$A$16:$A$20,0)))*$K9,N('[1]ATS USA'!X9))&lt;=0,"",MIN(N(INDEX([1]Parametros!O$16:O$20,MATCH($C9,[1]Parametros!$A$16:$A$20,0)))*$K9,N('[1]ATS USA'!X9)))</f>
        <v>6</v>
      </c>
      <c r="Z9" s="10">
        <f>IF(MIN(N(INDEX([1]Parametros!P$16:P$20,MATCH($C9,[1]Parametros!$A$16:$A$20,0)))*$K9,N('[1]ATS USA'!Y9))&lt;=0,"",MIN(N(INDEX([1]Parametros!P$16:P$20,MATCH($C9,[1]Parametros!$A$16:$A$20,0)))*$K9,N('[1]ATS USA'!Y9)))</f>
        <v>3</v>
      </c>
      <c r="AA9" s="9">
        <f>IF(MIN(N(INDEX([1]Parametros!Q$16:Q$20,MATCH($C9,[1]Parametros!$A$16:$A$20,0)))*$K9,N('[1]ATS USA'!Z9))&lt;=0,"",MIN(N(INDEX([1]Parametros!Q$16:Q$20,MATCH($C9,[1]Parametros!$A$16:$A$20,0)))*$K9,N('[1]ATS USA'!Z9)))</f>
        <v>3</v>
      </c>
      <c r="AB9" s="10">
        <f>IF(MIN(N(INDEX([1]Parametros!R$16:R$20,MATCH($C9,[1]Parametros!$A$16:$A$20,0)))*$K9,N('[1]ATS USA'!AA9))&lt;=0,"",MIN(N(INDEX([1]Parametros!R$16:R$20,MATCH($C9,[1]Parametros!$A$16:$A$20,0)))*$K9,N('[1]ATS USA'!AA9)))</f>
        <v>3</v>
      </c>
      <c r="AC9" s="9" t="str">
        <f>IF(MIN(N(INDEX([1]Parametros!S$16:S$20,MATCH($C9,[1]Parametros!$A$16:$A$20,0)))*$K9,N('[1]ATS USA'!AB9))&lt;=0,"",MIN(N(INDEX([1]Parametros!S$16:S$20,MATCH($C9,[1]Parametros!$A$16:$A$20,0)))*$K9,N('[1]ATS USA'!AB9)))</f>
        <v/>
      </c>
      <c r="AD9" s="10" t="str">
        <f>IF(MIN(N(INDEX([1]Parametros!T$16:T$20,MATCH($C9,[1]Parametros!$A$16:$A$20,0)))*$K9,N('[1]ATS USA'!AC9))&lt;=0,"",MIN(N(INDEX([1]Parametros!T$16:T$20,MATCH($C9,[1]Parametros!$A$16:$A$20,0)))*$K9,N('[1]ATS USA'!AC9)))</f>
        <v/>
      </c>
      <c r="AE9" s="9" t="str">
        <f>IF(MIN(N(INDEX([1]Parametros!U$16:U$20,MATCH($C9,[1]Parametros!$A$16:$A$20,0)))*$K9,N('[1]ATS USA'!AD9))&lt;=0,"",MIN(N(INDEX([1]Parametros!U$16:U$20,MATCH($C9,[1]Parametros!$A$16:$A$20,0)))*$K9,N('[1]ATS USA'!AD9)))</f>
        <v/>
      </c>
      <c r="AF9" s="11">
        <f t="shared" si="0"/>
        <v>30</v>
      </c>
      <c r="AG9" s="12" t="str">
        <f t="shared" si="1"/>
        <v>AJUSTAR</v>
      </c>
      <c r="AH9" s="6">
        <f t="shared" si="2"/>
        <v>1170</v>
      </c>
      <c r="AI9" s="9">
        <f t="shared" si="3"/>
        <v>6</v>
      </c>
      <c r="AJ9" s="13">
        <f>IF(LEFT($A9,8)="Tránsito",IFERROR(_xlfn.XLOOKUP(--$E9,'[1]Reserva Territorios'!$C:$C,'[1]Reserva Territorios'!$J:$J),0),0)</f>
        <v>0</v>
      </c>
      <c r="AK9" s="13">
        <f t="shared" si="4"/>
        <v>30</v>
      </c>
    </row>
    <row r="10" spans="1:37" ht="48.95" hidden="1" customHeight="1" x14ac:dyDescent="0.25">
      <c r="A10" s="3" t="s">
        <v>37</v>
      </c>
      <c r="B10" s="4" t="s">
        <v>38</v>
      </c>
      <c r="C10" s="4" t="s">
        <v>39</v>
      </c>
      <c r="D10" s="4" t="s">
        <v>68</v>
      </c>
      <c r="E10" s="4" t="s">
        <v>69</v>
      </c>
      <c r="F10" s="4" t="s">
        <v>70</v>
      </c>
      <c r="G10" s="4" t="s">
        <v>71</v>
      </c>
      <c r="H10" s="5">
        <v>45</v>
      </c>
      <c r="I10" s="6">
        <v>165</v>
      </c>
      <c r="J10" s="7">
        <f>ROUND(I10*[1]Parametros!$B$10,-3)</f>
        <v>589000</v>
      </c>
      <c r="K10" s="8">
        <v>0</v>
      </c>
      <c r="L10" s="9" t="str">
        <f>IF(MIN(N(INDEX([1]Parametros!B$16:B$20,MATCH($C10,[1]Parametros!$A$16:$A$20,0)))*$K10,N('[1]ATS USA'!K10))&lt;=0,"",MIN(N(INDEX([1]Parametros!B$16:B$20,MATCH($C10,[1]Parametros!$A$16:$A$20,0)))*$K10,N('[1]ATS USA'!K10)))</f>
        <v/>
      </c>
      <c r="M10" s="9" t="str">
        <f>IF(MIN(N(INDEX([1]Parametros!C$16:C$20,MATCH($C10,[1]Parametros!$A$16:$A$20,0)))*$K10,N('[1]ATS USA'!L10))&lt;=0,"",MIN(N(INDEX([1]Parametros!C$16:C$20,MATCH($C10,[1]Parametros!$A$16:$A$20,0)))*$K10,N('[1]ATS USA'!L10)))</f>
        <v/>
      </c>
      <c r="N10" s="9" t="str">
        <f>IF(MIN(N(INDEX([1]Parametros!D$16:D$20,MATCH($C10,[1]Parametros!$A$16:$A$20,0)))*$K10,N('[1]ATS USA'!M10))&lt;=0,"",MIN(N(INDEX([1]Parametros!D$16:D$20,MATCH($C10,[1]Parametros!$A$16:$A$20,0)))*$K10,N('[1]ATS USA'!M10)))</f>
        <v/>
      </c>
      <c r="O10" s="9" t="str">
        <f>IF(MIN(N(INDEX([1]Parametros!E$16:E$20,MATCH($C10,[1]Parametros!$A$16:$A$20,0)))*$K10,N('[1]ATS USA'!N10))&lt;=0,"",MIN(N(INDEX([1]Parametros!E$16:E$20,MATCH($C10,[1]Parametros!$A$16:$A$20,0)))*$K10,N('[1]ATS USA'!N10)))</f>
        <v/>
      </c>
      <c r="P10" s="9" t="str">
        <f>IF(MIN(N(INDEX([1]Parametros!F$16:F$20,MATCH($C10,[1]Parametros!$A$16:$A$20,0)))*$K10,N('[1]ATS USA'!O10))&lt;=0,"",MIN(N(INDEX([1]Parametros!F$16:F$20,MATCH($C10,[1]Parametros!$A$16:$A$20,0)))*$K10,N('[1]ATS USA'!O10)))</f>
        <v/>
      </c>
      <c r="Q10" s="9" t="str">
        <f>IF(MIN(N(INDEX([1]Parametros!G$16:G$20,MATCH($C10,[1]Parametros!$A$16:$A$20,0)))*$K10,N('[1]ATS USA'!P10))&lt;=0,"",MIN(N(INDEX([1]Parametros!G$16:G$20,MATCH($C10,[1]Parametros!$A$16:$A$20,0)))*$K10,N('[1]ATS USA'!P10)))</f>
        <v/>
      </c>
      <c r="R10" s="9" t="str">
        <f>IF(MIN(N(INDEX([1]Parametros!H$16:H$20,MATCH($C10,[1]Parametros!$A$16:$A$20,0)))*$K10,N('[1]ATS USA'!Q10))&lt;=0,"",MIN(N(INDEX([1]Parametros!H$16:H$20,MATCH($C10,[1]Parametros!$A$16:$A$20,0)))*$K10,N('[1]ATS USA'!Q10)))</f>
        <v/>
      </c>
      <c r="S10" s="9" t="str">
        <f>IF(MIN(N(INDEX([1]Parametros!I$16:I$20,MATCH($C10,[1]Parametros!$A$16:$A$20,0)))*$K10,N('[1]ATS USA'!R10))&lt;=0,"",MIN(N(INDEX([1]Parametros!I$16:I$20,MATCH($C10,[1]Parametros!$A$16:$A$20,0)))*$K10,N('[1]ATS USA'!R10)))</f>
        <v/>
      </c>
      <c r="T10" s="10" t="str">
        <f>IF(MIN(N(INDEX([1]Parametros!J$16:J$20,MATCH($C10,[1]Parametros!$A$16:$A$20,0)))*$K10,N('[1]ATS USA'!S10))&lt;=0,"",MIN(N(INDEX([1]Parametros!J$16:J$20,MATCH($C10,[1]Parametros!$A$16:$A$20,0)))*$K10,N('[1]ATS USA'!S10)))</f>
        <v/>
      </c>
      <c r="U10" s="9" t="str">
        <f>IF(MIN(N(INDEX([1]Parametros!K$16:K$20,MATCH($C10,[1]Parametros!$A$16:$A$20,0)))*$K10,N('[1]ATS USA'!T10))&lt;=0,"",MIN(N(INDEX([1]Parametros!K$16:K$20,MATCH($C10,[1]Parametros!$A$16:$A$20,0)))*$K10,N('[1]ATS USA'!T10)))</f>
        <v/>
      </c>
      <c r="V10" s="10" t="str">
        <f>IF(MIN(N(INDEX([1]Parametros!L$16:L$20,MATCH($C10,[1]Parametros!$A$16:$A$20,0)))*$K10,N('[1]ATS USA'!U10))&lt;=0,"",MIN(N(INDEX([1]Parametros!L$16:L$20,MATCH($C10,[1]Parametros!$A$16:$A$20,0)))*$K10,N('[1]ATS USA'!U10)))</f>
        <v/>
      </c>
      <c r="W10" s="10" t="str">
        <f>IF(MIN(N(INDEX([1]Parametros!M$16:M$20,MATCH($C10,[1]Parametros!$A$16:$A$20,0)))*$K10,N('[1]ATS USA'!V10))&lt;=0,"",MIN(N(INDEX([1]Parametros!M$16:M$20,MATCH($C10,[1]Parametros!$A$16:$A$20,0)))*$K10,N('[1]ATS USA'!V10)))</f>
        <v/>
      </c>
      <c r="X10" s="10" t="str">
        <f>IF(MIN(N(INDEX([1]Parametros!N$16:N$20,MATCH($C10,[1]Parametros!$A$16:$A$20,0)))*$K10,N('[1]ATS USA'!W10))&lt;=0,"",MIN(N(INDEX([1]Parametros!N$16:N$20,MATCH($C10,[1]Parametros!$A$16:$A$20,0)))*$K10,N('[1]ATS USA'!W10)))</f>
        <v/>
      </c>
      <c r="Y10" s="10" t="str">
        <f>IF(MIN(N(INDEX([1]Parametros!O$16:O$20,MATCH($C10,[1]Parametros!$A$16:$A$20,0)))*$K10,N('[1]ATS USA'!X10))&lt;=0,"",MIN(N(INDEX([1]Parametros!O$16:O$20,MATCH($C10,[1]Parametros!$A$16:$A$20,0)))*$K10,N('[1]ATS USA'!X10)))</f>
        <v/>
      </c>
      <c r="Z10" s="10" t="str">
        <f>IF(MIN(N(INDEX([1]Parametros!P$16:P$20,MATCH($C10,[1]Parametros!$A$16:$A$20,0)))*$K10,N('[1]ATS USA'!Y10))&lt;=0,"",MIN(N(INDEX([1]Parametros!P$16:P$20,MATCH($C10,[1]Parametros!$A$16:$A$20,0)))*$K10,N('[1]ATS USA'!Y10)))</f>
        <v/>
      </c>
      <c r="AA10" s="9" t="str">
        <f>IF(MIN(N(INDEX([1]Parametros!Q$16:Q$20,MATCH($C10,[1]Parametros!$A$16:$A$20,0)))*$K10,N('[1]ATS USA'!Z10))&lt;=0,"",MIN(N(INDEX([1]Parametros!Q$16:Q$20,MATCH($C10,[1]Parametros!$A$16:$A$20,0)))*$K10,N('[1]ATS USA'!Z10)))</f>
        <v/>
      </c>
      <c r="AB10" s="10" t="str">
        <f>IF(MIN(N(INDEX([1]Parametros!R$16:R$20,MATCH($C10,[1]Parametros!$A$16:$A$20,0)))*$K10,N('[1]ATS USA'!AA10))&lt;=0,"",MIN(N(INDEX([1]Parametros!R$16:R$20,MATCH($C10,[1]Parametros!$A$16:$A$20,0)))*$K10,N('[1]ATS USA'!AA10)))</f>
        <v/>
      </c>
      <c r="AC10" s="9" t="str">
        <f>IF(MIN(N(INDEX([1]Parametros!S$16:S$20,MATCH($C10,[1]Parametros!$A$16:$A$20,0)))*$K10,N('[1]ATS USA'!AB10))&lt;=0,"",MIN(N(INDEX([1]Parametros!S$16:S$20,MATCH($C10,[1]Parametros!$A$16:$A$20,0)))*$K10,N('[1]ATS USA'!AB10)))</f>
        <v/>
      </c>
      <c r="AD10" s="10" t="str">
        <f>IF(MIN(N(INDEX([1]Parametros!T$16:T$20,MATCH($C10,[1]Parametros!$A$16:$A$20,0)))*$K10,N('[1]ATS USA'!AC10))&lt;=0,"",MIN(N(INDEX([1]Parametros!T$16:T$20,MATCH($C10,[1]Parametros!$A$16:$A$20,0)))*$K10,N('[1]ATS USA'!AC10)))</f>
        <v/>
      </c>
      <c r="AE10" s="9" t="str">
        <f>IF(MIN(N(INDEX([1]Parametros!U$16:U$20,MATCH($C10,[1]Parametros!$A$16:$A$20,0)))*$K10,N('[1]ATS USA'!AD10))&lt;=0,"",MIN(N(INDEX([1]Parametros!U$16:U$20,MATCH($C10,[1]Parametros!$A$16:$A$20,0)))*$K10,N('[1]ATS USA'!AD10)))</f>
        <v/>
      </c>
      <c r="AF10" s="11">
        <f t="shared" si="0"/>
        <v>0</v>
      </c>
      <c r="AG10" s="12" t="str">
        <f t="shared" si="1"/>
        <v>OK</v>
      </c>
      <c r="AH10" s="6">
        <f t="shared" si="2"/>
        <v>0</v>
      </c>
      <c r="AI10" s="9">
        <f t="shared" si="3"/>
        <v>0</v>
      </c>
      <c r="AJ10" s="13">
        <f>IF(LEFT($A10,8)="Tránsito",IFERROR(_xlfn.XLOOKUP(--$E10,'[1]Reserva Territorios'!$C:$C,'[1]Reserva Territorios'!$J:$J),0),0)</f>
        <v>0</v>
      </c>
      <c r="AK10" s="13">
        <f t="shared" si="4"/>
        <v>0</v>
      </c>
    </row>
    <row r="11" spans="1:37" ht="48.95" hidden="1" customHeight="1" x14ac:dyDescent="0.25">
      <c r="A11" s="3" t="s">
        <v>37</v>
      </c>
      <c r="B11" s="4" t="s">
        <v>38</v>
      </c>
      <c r="C11" s="4" t="s">
        <v>39</v>
      </c>
      <c r="D11" s="4" t="s">
        <v>72</v>
      </c>
      <c r="E11" s="4" t="s">
        <v>73</v>
      </c>
      <c r="F11" s="4" t="s">
        <v>74</v>
      </c>
      <c r="G11" s="4" t="s">
        <v>75</v>
      </c>
      <c r="H11" s="5">
        <v>43</v>
      </c>
      <c r="I11" s="6">
        <v>155</v>
      </c>
      <c r="J11" s="7">
        <f>ROUND(I11*[1]Parametros!$B$10,-3)</f>
        <v>553000</v>
      </c>
      <c r="K11" s="8">
        <v>0</v>
      </c>
      <c r="L11" s="9" t="str">
        <f>IF(MIN(N(INDEX([1]Parametros!B$16:B$20,MATCH($C11,[1]Parametros!$A$16:$A$20,0)))*$K11,N('[1]ATS USA'!K11))&lt;=0,"",MIN(N(INDEX([1]Parametros!B$16:B$20,MATCH($C11,[1]Parametros!$A$16:$A$20,0)))*$K11,N('[1]ATS USA'!K11)))</f>
        <v/>
      </c>
      <c r="M11" s="9" t="str">
        <f>IF(MIN(N(INDEX([1]Parametros!C$16:C$20,MATCH($C11,[1]Parametros!$A$16:$A$20,0)))*$K11,N('[1]ATS USA'!L11))&lt;=0,"",MIN(N(INDEX([1]Parametros!C$16:C$20,MATCH($C11,[1]Parametros!$A$16:$A$20,0)))*$K11,N('[1]ATS USA'!L11)))</f>
        <v/>
      </c>
      <c r="N11" s="9" t="str">
        <f>IF(MIN(N(INDEX([1]Parametros!D$16:D$20,MATCH($C11,[1]Parametros!$A$16:$A$20,0)))*$K11,N('[1]ATS USA'!M11))&lt;=0,"",MIN(N(INDEX([1]Parametros!D$16:D$20,MATCH($C11,[1]Parametros!$A$16:$A$20,0)))*$K11,N('[1]ATS USA'!M11)))</f>
        <v/>
      </c>
      <c r="O11" s="9" t="str">
        <f>IF(MIN(N(INDEX([1]Parametros!E$16:E$20,MATCH($C11,[1]Parametros!$A$16:$A$20,0)))*$K11,N('[1]ATS USA'!N11))&lt;=0,"",MIN(N(INDEX([1]Parametros!E$16:E$20,MATCH($C11,[1]Parametros!$A$16:$A$20,0)))*$K11,N('[1]ATS USA'!N11)))</f>
        <v/>
      </c>
      <c r="P11" s="9" t="str">
        <f>IF(MIN(N(INDEX([1]Parametros!F$16:F$20,MATCH($C11,[1]Parametros!$A$16:$A$20,0)))*$K11,N('[1]ATS USA'!O11))&lt;=0,"",MIN(N(INDEX([1]Parametros!F$16:F$20,MATCH($C11,[1]Parametros!$A$16:$A$20,0)))*$K11,N('[1]ATS USA'!O11)))</f>
        <v/>
      </c>
      <c r="Q11" s="9" t="str">
        <f>IF(MIN(N(INDEX([1]Parametros!G$16:G$20,MATCH($C11,[1]Parametros!$A$16:$A$20,0)))*$K11,N('[1]ATS USA'!P11))&lt;=0,"",MIN(N(INDEX([1]Parametros!G$16:G$20,MATCH($C11,[1]Parametros!$A$16:$A$20,0)))*$K11,N('[1]ATS USA'!P11)))</f>
        <v/>
      </c>
      <c r="R11" s="9" t="str">
        <f>IF(MIN(N(INDEX([1]Parametros!H$16:H$20,MATCH($C11,[1]Parametros!$A$16:$A$20,0)))*$K11,N('[1]ATS USA'!Q11))&lt;=0,"",MIN(N(INDEX([1]Parametros!H$16:H$20,MATCH($C11,[1]Parametros!$A$16:$A$20,0)))*$K11,N('[1]ATS USA'!Q11)))</f>
        <v/>
      </c>
      <c r="S11" s="9" t="str">
        <f>IF(MIN(N(INDEX([1]Parametros!I$16:I$20,MATCH($C11,[1]Parametros!$A$16:$A$20,0)))*$K11,N('[1]ATS USA'!R11))&lt;=0,"",MIN(N(INDEX([1]Parametros!I$16:I$20,MATCH($C11,[1]Parametros!$A$16:$A$20,0)))*$K11,N('[1]ATS USA'!R11)))</f>
        <v/>
      </c>
      <c r="T11" s="9" t="str">
        <f>IF(MIN(N(INDEX([1]Parametros!J$16:J$20,MATCH($C11,[1]Parametros!$A$16:$A$20,0)))*$K11,N('[1]ATS USA'!S11))&lt;=0,"",MIN(N(INDEX([1]Parametros!J$16:J$20,MATCH($C11,[1]Parametros!$A$16:$A$20,0)))*$K11,N('[1]ATS USA'!S11)))</f>
        <v/>
      </c>
      <c r="U11" s="9" t="str">
        <f>IF(MIN(N(INDEX([1]Parametros!K$16:K$20,MATCH($C11,[1]Parametros!$A$16:$A$20,0)))*$K11,N('[1]ATS USA'!T11))&lt;=0,"",MIN(N(INDEX([1]Parametros!K$16:K$20,MATCH($C11,[1]Parametros!$A$16:$A$20,0)))*$K11,N('[1]ATS USA'!T11)))</f>
        <v/>
      </c>
      <c r="V11" s="10" t="str">
        <f>IF(MIN(N(INDEX([1]Parametros!L$16:L$20,MATCH($C11,[1]Parametros!$A$16:$A$20,0)))*$K11,N('[1]ATS USA'!U11))&lt;=0,"",MIN(N(INDEX([1]Parametros!L$16:L$20,MATCH($C11,[1]Parametros!$A$16:$A$20,0)))*$K11,N('[1]ATS USA'!U11)))</f>
        <v/>
      </c>
      <c r="W11" s="10" t="str">
        <f>IF(MIN(N(INDEX([1]Parametros!M$16:M$20,MATCH($C11,[1]Parametros!$A$16:$A$20,0)))*$K11,N('[1]ATS USA'!V11))&lt;=0,"",MIN(N(INDEX([1]Parametros!M$16:M$20,MATCH($C11,[1]Parametros!$A$16:$A$20,0)))*$K11,N('[1]ATS USA'!V11)))</f>
        <v/>
      </c>
      <c r="X11" s="10" t="str">
        <f>IF(MIN(N(INDEX([1]Parametros!N$16:N$20,MATCH($C11,[1]Parametros!$A$16:$A$20,0)))*$K11,N('[1]ATS USA'!W11))&lt;=0,"",MIN(N(INDEX([1]Parametros!N$16:N$20,MATCH($C11,[1]Parametros!$A$16:$A$20,0)))*$K11,N('[1]ATS USA'!W11)))</f>
        <v/>
      </c>
      <c r="Y11" s="10" t="str">
        <f>IF(MIN(N(INDEX([1]Parametros!O$16:O$20,MATCH($C11,[1]Parametros!$A$16:$A$20,0)))*$K11,N('[1]ATS USA'!X11))&lt;=0,"",MIN(N(INDEX([1]Parametros!O$16:O$20,MATCH($C11,[1]Parametros!$A$16:$A$20,0)))*$K11,N('[1]ATS USA'!X11)))</f>
        <v/>
      </c>
      <c r="Z11" s="10" t="str">
        <f>IF(MIN(N(INDEX([1]Parametros!P$16:P$20,MATCH($C11,[1]Parametros!$A$16:$A$20,0)))*$K11,N('[1]ATS USA'!Y11))&lt;=0,"",MIN(N(INDEX([1]Parametros!P$16:P$20,MATCH($C11,[1]Parametros!$A$16:$A$20,0)))*$K11,N('[1]ATS USA'!Y11)))</f>
        <v/>
      </c>
      <c r="AA11" s="9" t="str">
        <f>IF(MIN(N(INDEX([1]Parametros!Q$16:Q$20,MATCH($C11,[1]Parametros!$A$16:$A$20,0)))*$K11,N('[1]ATS USA'!Z11))&lt;=0,"",MIN(N(INDEX([1]Parametros!Q$16:Q$20,MATCH($C11,[1]Parametros!$A$16:$A$20,0)))*$K11,N('[1]ATS USA'!Z11)))</f>
        <v/>
      </c>
      <c r="AB11" s="10" t="str">
        <f>IF(MIN(N(INDEX([1]Parametros!R$16:R$20,MATCH($C11,[1]Parametros!$A$16:$A$20,0)))*$K11,N('[1]ATS USA'!AA11))&lt;=0,"",MIN(N(INDEX([1]Parametros!R$16:R$20,MATCH($C11,[1]Parametros!$A$16:$A$20,0)))*$K11,N('[1]ATS USA'!AA11)))</f>
        <v/>
      </c>
      <c r="AC11" s="9" t="str">
        <f>IF(MIN(N(INDEX([1]Parametros!S$16:S$20,MATCH($C11,[1]Parametros!$A$16:$A$20,0)))*$K11,N('[1]ATS USA'!AB11))&lt;=0,"",MIN(N(INDEX([1]Parametros!S$16:S$20,MATCH($C11,[1]Parametros!$A$16:$A$20,0)))*$K11,N('[1]ATS USA'!AB11)))</f>
        <v/>
      </c>
      <c r="AD11" s="10" t="str">
        <f>IF(MIN(N(INDEX([1]Parametros!T$16:T$20,MATCH($C11,[1]Parametros!$A$16:$A$20,0)))*$K11,N('[1]ATS USA'!AC11))&lt;=0,"",MIN(N(INDEX([1]Parametros!T$16:T$20,MATCH($C11,[1]Parametros!$A$16:$A$20,0)))*$K11,N('[1]ATS USA'!AC11)))</f>
        <v/>
      </c>
      <c r="AE11" s="9" t="str">
        <f>IF(MIN(N(INDEX([1]Parametros!U$16:U$20,MATCH($C11,[1]Parametros!$A$16:$A$20,0)))*$K11,N('[1]ATS USA'!AD11))&lt;=0,"",MIN(N(INDEX([1]Parametros!U$16:U$20,MATCH($C11,[1]Parametros!$A$16:$A$20,0)))*$K11,N('[1]ATS USA'!AD11)))</f>
        <v/>
      </c>
      <c r="AF11" s="11">
        <f t="shared" si="0"/>
        <v>0</v>
      </c>
      <c r="AG11" s="12" t="str">
        <f t="shared" si="1"/>
        <v>OK</v>
      </c>
      <c r="AH11" s="6">
        <f t="shared" si="2"/>
        <v>0</v>
      </c>
      <c r="AI11" s="9">
        <f t="shared" si="3"/>
        <v>0</v>
      </c>
      <c r="AJ11" s="13">
        <f>IF(LEFT($A11,8)="Tránsito",IFERROR(_xlfn.XLOOKUP(--$E11,'[1]Reserva Territorios'!$C:$C,'[1]Reserva Territorios'!$J:$J),0),0)</f>
        <v>0</v>
      </c>
      <c r="AK11" s="13">
        <f t="shared" si="4"/>
        <v>0</v>
      </c>
    </row>
    <row r="12" spans="1:37" ht="48.95" customHeight="1" x14ac:dyDescent="0.25">
      <c r="A12" s="3" t="s">
        <v>37</v>
      </c>
      <c r="B12" s="4" t="s">
        <v>76</v>
      </c>
      <c r="C12" s="4" t="s">
        <v>39</v>
      </c>
      <c r="D12" s="4" t="s">
        <v>77</v>
      </c>
      <c r="E12" s="4" t="s">
        <v>78</v>
      </c>
      <c r="F12" s="4" t="s">
        <v>79</v>
      </c>
      <c r="G12" s="4" t="s">
        <v>80</v>
      </c>
      <c r="H12" s="5">
        <v>49.75</v>
      </c>
      <c r="I12" s="6">
        <v>160</v>
      </c>
      <c r="J12" s="7">
        <f>ROUND(I12*[1]Parametros!$B$10,-3)</f>
        <v>571000</v>
      </c>
      <c r="K12" s="8">
        <v>2</v>
      </c>
      <c r="L12" s="9" t="str">
        <f>IF(MIN(N(INDEX([1]Parametros!B$16:B$20,MATCH($C12,[1]Parametros!$A$16:$A$20,0)))*$K12,N('[1]ATS USA'!K12))&lt;=0,"",MIN(N(INDEX([1]Parametros!B$16:B$20,MATCH($C12,[1]Parametros!$A$16:$A$20,0)))*$K12,N('[1]ATS USA'!K12)))</f>
        <v/>
      </c>
      <c r="M12" s="9" t="str">
        <f>IF(MIN(N(INDEX([1]Parametros!C$16:C$20,MATCH($C12,[1]Parametros!$A$16:$A$20,0)))*$K12,N('[1]ATS USA'!L12))&lt;=0,"",MIN(N(INDEX([1]Parametros!C$16:C$20,MATCH($C12,[1]Parametros!$A$16:$A$20,0)))*$K12,N('[1]ATS USA'!L12)))</f>
        <v/>
      </c>
      <c r="N12" s="9" t="str">
        <f>IF(MIN(N(INDEX([1]Parametros!D$16:D$20,MATCH($C12,[1]Parametros!$A$16:$A$20,0)))*$K12,N('[1]ATS USA'!M12))&lt;=0,"",MIN(N(INDEX([1]Parametros!D$16:D$20,MATCH($C12,[1]Parametros!$A$16:$A$20,0)))*$K12,N('[1]ATS USA'!M12)))</f>
        <v/>
      </c>
      <c r="O12" s="9" t="str">
        <f>IF(MIN(N(INDEX([1]Parametros!E$16:E$20,MATCH($C12,[1]Parametros!$A$16:$A$20,0)))*$K12,N('[1]ATS USA'!N12))&lt;=0,"",MIN(N(INDEX([1]Parametros!E$16:E$20,MATCH($C12,[1]Parametros!$A$16:$A$20,0)))*$K12,N('[1]ATS USA'!N12)))</f>
        <v/>
      </c>
      <c r="P12" s="9" t="str">
        <f>IF(MIN(N(INDEX([1]Parametros!F$16:F$20,MATCH($C12,[1]Parametros!$A$16:$A$20,0)))*$K12,N('[1]ATS USA'!O12))&lt;=0,"",MIN(N(INDEX([1]Parametros!F$16:F$20,MATCH($C12,[1]Parametros!$A$16:$A$20,0)))*$K12,N('[1]ATS USA'!O12)))</f>
        <v/>
      </c>
      <c r="Q12" s="9" t="str">
        <f>IF(MIN(N(INDEX([1]Parametros!G$16:G$20,MATCH($C12,[1]Parametros!$A$16:$A$20,0)))*$K12,N('[1]ATS USA'!P12))&lt;=0,"",MIN(N(INDEX([1]Parametros!G$16:G$20,MATCH($C12,[1]Parametros!$A$16:$A$20,0)))*$K12,N('[1]ATS USA'!P12)))</f>
        <v/>
      </c>
      <c r="R12" s="9" t="str">
        <f>IF(MIN(N(INDEX([1]Parametros!H$16:H$20,MATCH($C12,[1]Parametros!$A$16:$A$20,0)))*$K12,N('[1]ATS USA'!Q12))&lt;=0,"",MIN(N(INDEX([1]Parametros!H$16:H$20,MATCH($C12,[1]Parametros!$A$16:$A$20,0)))*$K12,N('[1]ATS USA'!Q12)))</f>
        <v/>
      </c>
      <c r="S12" s="9" t="str">
        <f>IF(MIN(N(INDEX([1]Parametros!I$16:I$20,MATCH($C12,[1]Parametros!$A$16:$A$20,0)))*$K12,N('[1]ATS USA'!R12))&lt;=0,"",MIN(N(INDEX([1]Parametros!I$16:I$20,MATCH($C12,[1]Parametros!$A$16:$A$20,0)))*$K12,N('[1]ATS USA'!R12)))</f>
        <v/>
      </c>
      <c r="T12" s="10">
        <f>IF(MIN(N(INDEX([1]Parametros!J$16:J$20,MATCH($C12,[1]Parametros!$A$16:$A$20,0)))*$K12,N('[1]ATS USA'!S12))&lt;=0,"",MIN(N(INDEX([1]Parametros!J$16:J$20,MATCH($C12,[1]Parametros!$A$16:$A$20,0)))*$K12,N('[1]ATS USA'!S12)))</f>
        <v>2</v>
      </c>
      <c r="U12" s="9">
        <f>IF(MIN(N(INDEX([1]Parametros!K$16:K$20,MATCH($C12,[1]Parametros!$A$16:$A$20,0)))*$K12,N('[1]ATS USA'!T12))&lt;=0,"",MIN(N(INDEX([1]Parametros!K$16:K$20,MATCH($C12,[1]Parametros!$A$16:$A$20,0)))*$K12,N('[1]ATS USA'!T12)))</f>
        <v>2</v>
      </c>
      <c r="V12" s="10">
        <f>IF(MIN(N(INDEX([1]Parametros!L$16:L$20,MATCH($C12,[1]Parametros!$A$16:$A$20,0)))*$K12,N('[1]ATS USA'!U12))&lt;=0,"",MIN(N(INDEX([1]Parametros!L$16:L$20,MATCH($C12,[1]Parametros!$A$16:$A$20,0)))*$K12,N('[1]ATS USA'!U12)))</f>
        <v>2</v>
      </c>
      <c r="W12" s="10">
        <f>IF(MIN(N(INDEX([1]Parametros!M$16:M$20,MATCH($C12,[1]Parametros!$A$16:$A$20,0)))*$K12,N('[1]ATS USA'!V12))&lt;=0,"",MIN(N(INDEX([1]Parametros!M$16:M$20,MATCH($C12,[1]Parametros!$A$16:$A$20,0)))*$K12,N('[1]ATS USA'!V12)))</f>
        <v>4</v>
      </c>
      <c r="X12" s="10">
        <f>IF(MIN(N(INDEX([1]Parametros!N$16:N$20,MATCH($C12,[1]Parametros!$A$16:$A$20,0)))*$K12,N('[1]ATS USA'!W12))&lt;=0,"",MIN(N(INDEX([1]Parametros!N$16:N$20,MATCH($C12,[1]Parametros!$A$16:$A$20,0)))*$K12,N('[1]ATS USA'!W12)))</f>
        <v>4</v>
      </c>
      <c r="Y12" s="10">
        <f>IF(MIN(N(INDEX([1]Parametros!O$16:O$20,MATCH($C12,[1]Parametros!$A$16:$A$20,0)))*$K12,N('[1]ATS USA'!X12))&lt;=0,"",MIN(N(INDEX([1]Parametros!O$16:O$20,MATCH($C12,[1]Parametros!$A$16:$A$20,0)))*$K12,N('[1]ATS USA'!X12)))</f>
        <v>4</v>
      </c>
      <c r="Z12" s="10">
        <f>IF(MIN(N(INDEX([1]Parametros!P$16:P$20,MATCH($C12,[1]Parametros!$A$16:$A$20,0)))*$K12,N('[1]ATS USA'!Y12))&lt;=0,"",MIN(N(INDEX([1]Parametros!P$16:P$20,MATCH($C12,[1]Parametros!$A$16:$A$20,0)))*$K12,N('[1]ATS USA'!Y12)))</f>
        <v>2</v>
      </c>
      <c r="AA12" s="9">
        <f>IF(MIN(N(INDEX([1]Parametros!Q$16:Q$20,MATCH($C12,[1]Parametros!$A$16:$A$20,0)))*$K12,N('[1]ATS USA'!Z12))&lt;=0,"",MIN(N(INDEX([1]Parametros!Q$16:Q$20,MATCH($C12,[1]Parametros!$A$16:$A$20,0)))*$K12,N('[1]ATS USA'!Z12)))</f>
        <v>2</v>
      </c>
      <c r="AB12" s="10">
        <f>IF(MIN(N(INDEX([1]Parametros!R$16:R$20,MATCH($C12,[1]Parametros!$A$16:$A$20,0)))*$K12,N('[1]ATS USA'!AA12))&lt;=0,"",MIN(N(INDEX([1]Parametros!R$16:R$20,MATCH($C12,[1]Parametros!$A$16:$A$20,0)))*$K12,N('[1]ATS USA'!AA12)))</f>
        <v>2</v>
      </c>
      <c r="AC12" s="9" t="str">
        <f>IF(MIN(N(INDEX([1]Parametros!S$16:S$20,MATCH($C12,[1]Parametros!$A$16:$A$20,0)))*$K12,N('[1]ATS USA'!AB12))&lt;=0,"",MIN(N(INDEX([1]Parametros!S$16:S$20,MATCH($C12,[1]Parametros!$A$16:$A$20,0)))*$K12,N('[1]ATS USA'!AB12)))</f>
        <v/>
      </c>
      <c r="AD12" s="10" t="str">
        <f>IF(MIN(N(INDEX([1]Parametros!T$16:T$20,MATCH($C12,[1]Parametros!$A$16:$A$20,0)))*$K12,N('[1]ATS USA'!AC12))&lt;=0,"",MIN(N(INDEX([1]Parametros!T$16:T$20,MATCH($C12,[1]Parametros!$A$16:$A$20,0)))*$K12,N('[1]ATS USA'!AC12)))</f>
        <v/>
      </c>
      <c r="AE12" s="9" t="str">
        <f>IF(MIN(N(INDEX([1]Parametros!U$16:U$20,MATCH($C12,[1]Parametros!$A$16:$A$20,0)))*$K12,N('[1]ATS USA'!AD12))&lt;=0,"",MIN(N(INDEX([1]Parametros!U$16:U$20,MATCH($C12,[1]Parametros!$A$16:$A$20,0)))*$K12,N('[1]ATS USA'!AD12)))</f>
        <v/>
      </c>
      <c r="AF12" s="11">
        <f t="shared" si="0"/>
        <v>24</v>
      </c>
      <c r="AG12" s="12" t="str">
        <f t="shared" si="1"/>
        <v>OK</v>
      </c>
      <c r="AH12" s="6">
        <f t="shared" si="2"/>
        <v>1194</v>
      </c>
      <c r="AI12" s="9">
        <f t="shared" si="3"/>
        <v>0</v>
      </c>
      <c r="AJ12" s="13">
        <f>IF(LEFT($A12,8)="Tránsito",IFERROR(_xlfn.XLOOKUP(--$E12,'[1]Reserva Territorios'!$C:$C,'[1]Reserva Territorios'!$J:$J),0),0)</f>
        <v>0</v>
      </c>
      <c r="AK12" s="13">
        <f t="shared" si="4"/>
        <v>24</v>
      </c>
    </row>
    <row r="13" spans="1:37" ht="48.95" customHeight="1" x14ac:dyDescent="0.25">
      <c r="A13" s="3" t="s">
        <v>37</v>
      </c>
      <c r="B13" s="4" t="s">
        <v>76</v>
      </c>
      <c r="C13" s="4" t="s">
        <v>39</v>
      </c>
      <c r="D13" s="4" t="s">
        <v>81</v>
      </c>
      <c r="E13" s="4" t="s">
        <v>82</v>
      </c>
      <c r="F13" s="4" t="s">
        <v>83</v>
      </c>
      <c r="G13" s="4" t="s">
        <v>84</v>
      </c>
      <c r="H13" s="5">
        <v>27</v>
      </c>
      <c r="I13" s="6">
        <v>150</v>
      </c>
      <c r="J13" s="7">
        <f>ROUND(I13*[1]Parametros!$B$10,-3)</f>
        <v>535000</v>
      </c>
      <c r="K13" s="8">
        <v>2</v>
      </c>
      <c r="L13" s="9" t="str">
        <f>IF(MIN(N(INDEX([1]Parametros!B$16:B$20,MATCH($C13,[1]Parametros!$A$16:$A$20,0)))*$K13,N('[1]ATS USA'!K13))&lt;=0,"",MIN(N(INDEX([1]Parametros!B$16:B$20,MATCH($C13,[1]Parametros!$A$16:$A$20,0)))*$K13,N('[1]ATS USA'!K13)))</f>
        <v/>
      </c>
      <c r="M13" s="9" t="str">
        <f>IF(MIN(N(INDEX([1]Parametros!C$16:C$20,MATCH($C13,[1]Parametros!$A$16:$A$20,0)))*$K13,N('[1]ATS USA'!L13))&lt;=0,"",MIN(N(INDEX([1]Parametros!C$16:C$20,MATCH($C13,[1]Parametros!$A$16:$A$20,0)))*$K13,N('[1]ATS USA'!L13)))</f>
        <v/>
      </c>
      <c r="N13" s="9" t="str">
        <f>IF(MIN(N(INDEX([1]Parametros!D$16:D$20,MATCH($C13,[1]Parametros!$A$16:$A$20,0)))*$K13,N('[1]ATS USA'!M13))&lt;=0,"",MIN(N(INDEX([1]Parametros!D$16:D$20,MATCH($C13,[1]Parametros!$A$16:$A$20,0)))*$K13,N('[1]ATS USA'!M13)))</f>
        <v/>
      </c>
      <c r="O13" s="9" t="str">
        <f>IF(MIN(N(INDEX([1]Parametros!E$16:E$20,MATCH($C13,[1]Parametros!$A$16:$A$20,0)))*$K13,N('[1]ATS USA'!N13))&lt;=0,"",MIN(N(INDEX([1]Parametros!E$16:E$20,MATCH($C13,[1]Parametros!$A$16:$A$20,0)))*$K13,N('[1]ATS USA'!N13)))</f>
        <v/>
      </c>
      <c r="P13" s="9" t="str">
        <f>IF(MIN(N(INDEX([1]Parametros!F$16:F$20,MATCH($C13,[1]Parametros!$A$16:$A$20,0)))*$K13,N('[1]ATS USA'!O13))&lt;=0,"",MIN(N(INDEX([1]Parametros!F$16:F$20,MATCH($C13,[1]Parametros!$A$16:$A$20,0)))*$K13,N('[1]ATS USA'!O13)))</f>
        <v/>
      </c>
      <c r="Q13" s="9" t="str">
        <f>IF(MIN(N(INDEX([1]Parametros!G$16:G$20,MATCH($C13,[1]Parametros!$A$16:$A$20,0)))*$K13,N('[1]ATS USA'!P13))&lt;=0,"",MIN(N(INDEX([1]Parametros!G$16:G$20,MATCH($C13,[1]Parametros!$A$16:$A$20,0)))*$K13,N('[1]ATS USA'!P13)))</f>
        <v/>
      </c>
      <c r="R13" s="9" t="str">
        <f>IF(MIN(N(INDEX([1]Parametros!H$16:H$20,MATCH($C13,[1]Parametros!$A$16:$A$20,0)))*$K13,N('[1]ATS USA'!Q13))&lt;=0,"",MIN(N(INDEX([1]Parametros!H$16:H$20,MATCH($C13,[1]Parametros!$A$16:$A$20,0)))*$K13,N('[1]ATS USA'!Q13)))</f>
        <v/>
      </c>
      <c r="S13" s="9" t="str">
        <f>IF(MIN(N(INDEX([1]Parametros!I$16:I$20,MATCH($C13,[1]Parametros!$A$16:$A$20,0)))*$K13,N('[1]ATS USA'!R13))&lt;=0,"",MIN(N(INDEX([1]Parametros!I$16:I$20,MATCH($C13,[1]Parametros!$A$16:$A$20,0)))*$K13,N('[1]ATS USA'!R13)))</f>
        <v/>
      </c>
      <c r="T13" s="9" t="str">
        <f>IF(MIN(N(INDEX([1]Parametros!J$16:J$20,MATCH($C13,[1]Parametros!$A$16:$A$20,0)))*$K13,N('[1]ATS USA'!S13))&lt;=0,"",MIN(N(INDEX([1]Parametros!J$16:J$20,MATCH($C13,[1]Parametros!$A$16:$A$20,0)))*$K13,N('[1]ATS USA'!S13)))</f>
        <v/>
      </c>
      <c r="U13" s="9" t="str">
        <f>IF(MIN(N(INDEX([1]Parametros!K$16:K$20,MATCH($C13,[1]Parametros!$A$16:$A$20,0)))*$K13,N('[1]ATS USA'!T13))&lt;=0,"",MIN(N(INDEX([1]Parametros!K$16:K$20,MATCH($C13,[1]Parametros!$A$16:$A$20,0)))*$K13,N('[1]ATS USA'!T13)))</f>
        <v/>
      </c>
      <c r="V13" s="9" t="str">
        <f>IF(MIN(N(INDEX([1]Parametros!L$16:L$20,MATCH($C13,[1]Parametros!$A$16:$A$20,0)))*$K13,N('[1]ATS USA'!U13))&lt;=0,"",MIN(N(INDEX([1]Parametros!L$16:L$20,MATCH($C13,[1]Parametros!$A$16:$A$20,0)))*$K13,N('[1]ATS USA'!U13)))</f>
        <v/>
      </c>
      <c r="W13" s="10">
        <f>IF(MIN(N(INDEX([1]Parametros!M$16:M$20,MATCH($C13,[1]Parametros!$A$16:$A$20,0)))*$K13,N('[1]ATS USA'!V13))&lt;=0,"",MIN(N(INDEX([1]Parametros!M$16:M$20,MATCH($C13,[1]Parametros!$A$16:$A$20,0)))*$K13,N('[1]ATS USA'!V13)))</f>
        <v>4</v>
      </c>
      <c r="X13" s="10">
        <f>IF(MIN(N(INDEX([1]Parametros!N$16:N$20,MATCH($C13,[1]Parametros!$A$16:$A$20,0)))*$K13,N('[1]ATS USA'!W13))&lt;=0,"",MIN(N(INDEX([1]Parametros!N$16:N$20,MATCH($C13,[1]Parametros!$A$16:$A$20,0)))*$K13,N('[1]ATS USA'!W13)))</f>
        <v>4</v>
      </c>
      <c r="Y13" s="10">
        <f>IF(MIN(N(INDEX([1]Parametros!O$16:O$20,MATCH($C13,[1]Parametros!$A$16:$A$20,0)))*$K13,N('[1]ATS USA'!X13))&lt;=0,"",MIN(N(INDEX([1]Parametros!O$16:O$20,MATCH($C13,[1]Parametros!$A$16:$A$20,0)))*$K13,N('[1]ATS USA'!X13)))</f>
        <v>4</v>
      </c>
      <c r="Z13" s="10">
        <f>IF(MIN(N(INDEX([1]Parametros!P$16:P$20,MATCH($C13,[1]Parametros!$A$16:$A$20,0)))*$K13,N('[1]ATS USA'!Y13))&lt;=0,"",MIN(N(INDEX([1]Parametros!P$16:P$20,MATCH($C13,[1]Parametros!$A$16:$A$20,0)))*$K13,N('[1]ATS USA'!Y13)))</f>
        <v>2</v>
      </c>
      <c r="AA13" s="9">
        <f>IF(MIN(N(INDEX([1]Parametros!Q$16:Q$20,MATCH($C13,[1]Parametros!$A$16:$A$20,0)))*$K13,N('[1]ATS USA'!Z13))&lt;=0,"",MIN(N(INDEX([1]Parametros!Q$16:Q$20,MATCH($C13,[1]Parametros!$A$16:$A$20,0)))*$K13,N('[1]ATS USA'!Z13)))</f>
        <v>2</v>
      </c>
      <c r="AB13" s="10">
        <f>IF(MIN(N(INDEX([1]Parametros!R$16:R$20,MATCH($C13,[1]Parametros!$A$16:$A$20,0)))*$K13,N('[1]ATS USA'!AA13))&lt;=0,"",MIN(N(INDEX([1]Parametros!R$16:R$20,MATCH($C13,[1]Parametros!$A$16:$A$20,0)))*$K13,N('[1]ATS USA'!AA13)))</f>
        <v>2</v>
      </c>
      <c r="AC13" s="9" t="str">
        <f>IF(MIN(N(INDEX([1]Parametros!S$16:S$20,MATCH($C13,[1]Parametros!$A$16:$A$20,0)))*$K13,N('[1]ATS USA'!AB13))&lt;=0,"",MIN(N(INDEX([1]Parametros!S$16:S$20,MATCH($C13,[1]Parametros!$A$16:$A$20,0)))*$K13,N('[1]ATS USA'!AB13)))</f>
        <v/>
      </c>
      <c r="AD13" s="10" t="str">
        <f>IF(MIN(N(INDEX([1]Parametros!T$16:T$20,MATCH($C13,[1]Parametros!$A$16:$A$20,0)))*$K13,N('[1]ATS USA'!AC13))&lt;=0,"",MIN(N(INDEX([1]Parametros!T$16:T$20,MATCH($C13,[1]Parametros!$A$16:$A$20,0)))*$K13,N('[1]ATS USA'!AC13)))</f>
        <v/>
      </c>
      <c r="AE13" s="9" t="str">
        <f>IF(MIN(N(INDEX([1]Parametros!U$16:U$20,MATCH($C13,[1]Parametros!$A$16:$A$20,0)))*$K13,N('[1]ATS USA'!AD13))&lt;=0,"",MIN(N(INDEX([1]Parametros!U$16:U$20,MATCH($C13,[1]Parametros!$A$16:$A$20,0)))*$K13,N('[1]ATS USA'!AD13)))</f>
        <v/>
      </c>
      <c r="AF13" s="11">
        <f t="shared" si="0"/>
        <v>18</v>
      </c>
      <c r="AG13" s="12" t="str">
        <f t="shared" si="1"/>
        <v>AJUSTAR</v>
      </c>
      <c r="AH13" s="6">
        <f t="shared" si="2"/>
        <v>486</v>
      </c>
      <c r="AI13" s="9">
        <f t="shared" si="3"/>
        <v>6</v>
      </c>
      <c r="AJ13" s="13">
        <f>IF(LEFT($A13,8)="Tránsito",IFERROR(_xlfn.XLOOKUP(--$E13,'[1]Reserva Territorios'!$C:$C,'[1]Reserva Territorios'!$J:$J),0),0)</f>
        <v>0</v>
      </c>
      <c r="AK13" s="13">
        <f t="shared" si="4"/>
        <v>18</v>
      </c>
    </row>
    <row r="14" spans="1:37" ht="48.95" customHeight="1" x14ac:dyDescent="0.25">
      <c r="A14" s="3" t="s">
        <v>37</v>
      </c>
      <c r="B14" s="4" t="s">
        <v>76</v>
      </c>
      <c r="C14" s="4" t="s">
        <v>39</v>
      </c>
      <c r="D14" s="4" t="s">
        <v>85</v>
      </c>
      <c r="E14" s="4" t="s">
        <v>86</v>
      </c>
      <c r="F14" s="4" t="s">
        <v>87</v>
      </c>
      <c r="G14" s="4" t="s">
        <v>47</v>
      </c>
      <c r="H14" s="5">
        <v>58.5</v>
      </c>
      <c r="I14" s="6">
        <v>190</v>
      </c>
      <c r="J14" s="7">
        <f>ROUND(I14*[1]Parametros!$B$10,-3)</f>
        <v>678000</v>
      </c>
      <c r="K14" s="8">
        <v>2</v>
      </c>
      <c r="L14" s="9" t="str">
        <f>IF(MIN(N(INDEX([1]Parametros!B$16:B$20,MATCH($C14,[1]Parametros!$A$16:$A$20,0)))*$K14,N('[1]ATS USA'!K14))&lt;=0,"",MIN(N(INDEX([1]Parametros!B$16:B$20,MATCH($C14,[1]Parametros!$A$16:$A$20,0)))*$K14,N('[1]ATS USA'!K14)))</f>
        <v/>
      </c>
      <c r="M14" s="9" t="str">
        <f>IF(MIN(N(INDEX([1]Parametros!C$16:C$20,MATCH($C14,[1]Parametros!$A$16:$A$20,0)))*$K14,N('[1]ATS USA'!L14))&lt;=0,"",MIN(N(INDEX([1]Parametros!C$16:C$20,MATCH($C14,[1]Parametros!$A$16:$A$20,0)))*$K14,N('[1]ATS USA'!L14)))</f>
        <v/>
      </c>
      <c r="N14" s="9" t="str">
        <f>IF(MIN(N(INDEX([1]Parametros!D$16:D$20,MATCH($C14,[1]Parametros!$A$16:$A$20,0)))*$K14,N('[1]ATS USA'!M14))&lt;=0,"",MIN(N(INDEX([1]Parametros!D$16:D$20,MATCH($C14,[1]Parametros!$A$16:$A$20,0)))*$K14,N('[1]ATS USA'!M14)))</f>
        <v/>
      </c>
      <c r="O14" s="9" t="str">
        <f>IF(MIN(N(INDEX([1]Parametros!E$16:E$20,MATCH($C14,[1]Parametros!$A$16:$A$20,0)))*$K14,N('[1]ATS USA'!N14))&lt;=0,"",MIN(N(INDEX([1]Parametros!E$16:E$20,MATCH($C14,[1]Parametros!$A$16:$A$20,0)))*$K14,N('[1]ATS USA'!N14)))</f>
        <v/>
      </c>
      <c r="P14" s="9" t="str">
        <f>IF(MIN(N(INDEX([1]Parametros!F$16:F$20,MATCH($C14,[1]Parametros!$A$16:$A$20,0)))*$K14,N('[1]ATS USA'!O14))&lt;=0,"",MIN(N(INDEX([1]Parametros!F$16:F$20,MATCH($C14,[1]Parametros!$A$16:$A$20,0)))*$K14,N('[1]ATS USA'!O14)))</f>
        <v/>
      </c>
      <c r="Q14" s="9" t="str">
        <f>IF(MIN(N(INDEX([1]Parametros!G$16:G$20,MATCH($C14,[1]Parametros!$A$16:$A$20,0)))*$K14,N('[1]ATS USA'!P14))&lt;=0,"",MIN(N(INDEX([1]Parametros!G$16:G$20,MATCH($C14,[1]Parametros!$A$16:$A$20,0)))*$K14,N('[1]ATS USA'!P14)))</f>
        <v/>
      </c>
      <c r="R14" s="9" t="str">
        <f>IF(MIN(N(INDEX([1]Parametros!H$16:H$20,MATCH($C14,[1]Parametros!$A$16:$A$20,0)))*$K14,N('[1]ATS USA'!Q14))&lt;=0,"",MIN(N(INDEX([1]Parametros!H$16:H$20,MATCH($C14,[1]Parametros!$A$16:$A$20,0)))*$K14,N('[1]ATS USA'!Q14)))</f>
        <v/>
      </c>
      <c r="S14" s="9" t="str">
        <f>IF(MIN(N(INDEX([1]Parametros!I$16:I$20,MATCH($C14,[1]Parametros!$A$16:$A$20,0)))*$K14,N('[1]ATS USA'!R14))&lt;=0,"",MIN(N(INDEX([1]Parametros!I$16:I$20,MATCH($C14,[1]Parametros!$A$16:$A$20,0)))*$K14,N('[1]ATS USA'!R14)))</f>
        <v/>
      </c>
      <c r="T14" s="10">
        <f>IF(MIN(N(INDEX([1]Parametros!J$16:J$20,MATCH($C14,[1]Parametros!$A$16:$A$20,0)))*$K14,N('[1]ATS USA'!S14))&lt;=0,"",MIN(N(INDEX([1]Parametros!J$16:J$20,MATCH($C14,[1]Parametros!$A$16:$A$20,0)))*$K14,N('[1]ATS USA'!S14)))</f>
        <v>2</v>
      </c>
      <c r="U14" s="9">
        <f>IF(MIN(N(INDEX([1]Parametros!K$16:K$20,MATCH($C14,[1]Parametros!$A$16:$A$20,0)))*$K14,N('[1]ATS USA'!T14))&lt;=0,"",MIN(N(INDEX([1]Parametros!K$16:K$20,MATCH($C14,[1]Parametros!$A$16:$A$20,0)))*$K14,N('[1]ATS USA'!T14)))</f>
        <v>2</v>
      </c>
      <c r="V14" s="10">
        <f>IF(MIN(N(INDEX([1]Parametros!L$16:L$20,MATCH($C14,[1]Parametros!$A$16:$A$20,0)))*$K14,N('[1]ATS USA'!U14))&lt;=0,"",MIN(N(INDEX([1]Parametros!L$16:L$20,MATCH($C14,[1]Parametros!$A$16:$A$20,0)))*$K14,N('[1]ATS USA'!U14)))</f>
        <v>2</v>
      </c>
      <c r="W14" s="10">
        <f>IF(MIN(N(INDEX([1]Parametros!M$16:M$20,MATCH($C14,[1]Parametros!$A$16:$A$20,0)))*$K14,N('[1]ATS USA'!V14))&lt;=0,"",MIN(N(INDEX([1]Parametros!M$16:M$20,MATCH($C14,[1]Parametros!$A$16:$A$20,0)))*$K14,N('[1]ATS USA'!V14)))</f>
        <v>4</v>
      </c>
      <c r="X14" s="10">
        <f>IF(MIN(N(INDEX([1]Parametros!N$16:N$20,MATCH($C14,[1]Parametros!$A$16:$A$20,0)))*$K14,N('[1]ATS USA'!W14))&lt;=0,"",MIN(N(INDEX([1]Parametros!N$16:N$20,MATCH($C14,[1]Parametros!$A$16:$A$20,0)))*$K14,N('[1]ATS USA'!W14)))</f>
        <v>4</v>
      </c>
      <c r="Y14" s="10">
        <f>IF(MIN(N(INDEX([1]Parametros!O$16:O$20,MATCH($C14,[1]Parametros!$A$16:$A$20,0)))*$K14,N('[1]ATS USA'!X14))&lt;=0,"",MIN(N(INDEX([1]Parametros!O$16:O$20,MATCH($C14,[1]Parametros!$A$16:$A$20,0)))*$K14,N('[1]ATS USA'!X14)))</f>
        <v>4</v>
      </c>
      <c r="Z14" s="10">
        <f>IF(MIN(N(INDEX([1]Parametros!P$16:P$20,MATCH($C14,[1]Parametros!$A$16:$A$20,0)))*$K14,N('[1]ATS USA'!Y14))&lt;=0,"",MIN(N(INDEX([1]Parametros!P$16:P$20,MATCH($C14,[1]Parametros!$A$16:$A$20,0)))*$K14,N('[1]ATS USA'!Y14)))</f>
        <v>2</v>
      </c>
      <c r="AA14" s="9">
        <f>IF(MIN(N(INDEX([1]Parametros!Q$16:Q$20,MATCH($C14,[1]Parametros!$A$16:$A$20,0)))*$K14,N('[1]ATS USA'!Z14))&lt;=0,"",MIN(N(INDEX([1]Parametros!Q$16:Q$20,MATCH($C14,[1]Parametros!$A$16:$A$20,0)))*$K14,N('[1]ATS USA'!Z14)))</f>
        <v>2</v>
      </c>
      <c r="AB14" s="10">
        <f>IF(MIN(N(INDEX([1]Parametros!R$16:R$20,MATCH($C14,[1]Parametros!$A$16:$A$20,0)))*$K14,N('[1]ATS USA'!AA14))&lt;=0,"",MIN(N(INDEX([1]Parametros!R$16:R$20,MATCH($C14,[1]Parametros!$A$16:$A$20,0)))*$K14,N('[1]ATS USA'!AA14)))</f>
        <v>2</v>
      </c>
      <c r="AC14" s="9" t="str">
        <f>IF(MIN(N(INDEX([1]Parametros!S$16:S$20,MATCH($C14,[1]Parametros!$A$16:$A$20,0)))*$K14,N('[1]ATS USA'!AB14))&lt;=0,"",MIN(N(INDEX([1]Parametros!S$16:S$20,MATCH($C14,[1]Parametros!$A$16:$A$20,0)))*$K14,N('[1]ATS USA'!AB14)))</f>
        <v/>
      </c>
      <c r="AD14" s="10" t="str">
        <f>IF(MIN(N(INDEX([1]Parametros!T$16:T$20,MATCH($C14,[1]Parametros!$A$16:$A$20,0)))*$K14,N('[1]ATS USA'!AC14))&lt;=0,"",MIN(N(INDEX([1]Parametros!T$16:T$20,MATCH($C14,[1]Parametros!$A$16:$A$20,0)))*$K14,N('[1]ATS USA'!AC14)))</f>
        <v/>
      </c>
      <c r="AE14" s="9" t="str">
        <f>IF(MIN(N(INDEX([1]Parametros!U$16:U$20,MATCH($C14,[1]Parametros!$A$16:$A$20,0)))*$K14,N('[1]ATS USA'!AD14))&lt;=0,"",MIN(N(INDEX([1]Parametros!U$16:U$20,MATCH($C14,[1]Parametros!$A$16:$A$20,0)))*$K14,N('[1]ATS USA'!AD14)))</f>
        <v/>
      </c>
      <c r="AF14" s="11">
        <f t="shared" si="0"/>
        <v>24</v>
      </c>
      <c r="AG14" s="12" t="str">
        <f t="shared" si="1"/>
        <v>OK</v>
      </c>
      <c r="AH14" s="6">
        <f t="shared" si="2"/>
        <v>1404</v>
      </c>
      <c r="AI14" s="9">
        <f t="shared" si="3"/>
        <v>0</v>
      </c>
      <c r="AJ14" s="13">
        <f>IF(LEFT($A14,8)="Tránsito",IFERROR(_xlfn.XLOOKUP(--$E14,'[1]Reserva Territorios'!$C:$C,'[1]Reserva Territorios'!$J:$J),0),0)</f>
        <v>0</v>
      </c>
      <c r="AK14" s="13">
        <f t="shared" si="4"/>
        <v>24</v>
      </c>
    </row>
    <row r="15" spans="1:37" ht="48.95" customHeight="1" x14ac:dyDescent="0.25">
      <c r="A15" s="3" t="s">
        <v>37</v>
      </c>
      <c r="B15" s="4" t="s">
        <v>76</v>
      </c>
      <c r="C15" s="4" t="s">
        <v>39</v>
      </c>
      <c r="D15" s="4" t="s">
        <v>88</v>
      </c>
      <c r="E15" s="4" t="s">
        <v>89</v>
      </c>
      <c r="F15" s="4" t="s">
        <v>90</v>
      </c>
      <c r="G15" s="4" t="s">
        <v>91</v>
      </c>
      <c r="H15" s="5">
        <v>55.5</v>
      </c>
      <c r="I15" s="6">
        <v>180</v>
      </c>
      <c r="J15" s="7">
        <f>ROUND(I15*[1]Parametros!$B$10,-3)</f>
        <v>642000</v>
      </c>
      <c r="K15" s="8">
        <v>2</v>
      </c>
      <c r="L15" s="9" t="str">
        <f>IF(MIN(N(INDEX([1]Parametros!B$16:B$20,MATCH($C15,[1]Parametros!$A$16:$A$20,0)))*$K15,N('[1]ATS USA'!K15))&lt;=0,"",MIN(N(INDEX([1]Parametros!B$16:B$20,MATCH($C15,[1]Parametros!$A$16:$A$20,0)))*$K15,N('[1]ATS USA'!K15)))</f>
        <v/>
      </c>
      <c r="M15" s="9" t="str">
        <f>IF(MIN(N(INDEX([1]Parametros!C$16:C$20,MATCH($C15,[1]Parametros!$A$16:$A$20,0)))*$K15,N('[1]ATS USA'!L15))&lt;=0,"",MIN(N(INDEX([1]Parametros!C$16:C$20,MATCH($C15,[1]Parametros!$A$16:$A$20,0)))*$K15,N('[1]ATS USA'!L15)))</f>
        <v/>
      </c>
      <c r="N15" s="9" t="str">
        <f>IF(MIN(N(INDEX([1]Parametros!D$16:D$20,MATCH($C15,[1]Parametros!$A$16:$A$20,0)))*$K15,N('[1]ATS USA'!M15))&lt;=0,"",MIN(N(INDEX([1]Parametros!D$16:D$20,MATCH($C15,[1]Parametros!$A$16:$A$20,0)))*$K15,N('[1]ATS USA'!M15)))</f>
        <v/>
      </c>
      <c r="O15" s="9" t="str">
        <f>IF(MIN(N(INDEX([1]Parametros!E$16:E$20,MATCH($C15,[1]Parametros!$A$16:$A$20,0)))*$K15,N('[1]ATS USA'!N15))&lt;=0,"",MIN(N(INDEX([1]Parametros!E$16:E$20,MATCH($C15,[1]Parametros!$A$16:$A$20,0)))*$K15,N('[1]ATS USA'!N15)))</f>
        <v/>
      </c>
      <c r="P15" s="9" t="str">
        <f>IF(MIN(N(INDEX([1]Parametros!F$16:F$20,MATCH($C15,[1]Parametros!$A$16:$A$20,0)))*$K15,N('[1]ATS USA'!O15))&lt;=0,"",MIN(N(INDEX([1]Parametros!F$16:F$20,MATCH($C15,[1]Parametros!$A$16:$A$20,0)))*$K15,N('[1]ATS USA'!O15)))</f>
        <v/>
      </c>
      <c r="Q15" s="9" t="str">
        <f>IF(MIN(N(INDEX([1]Parametros!G$16:G$20,MATCH($C15,[1]Parametros!$A$16:$A$20,0)))*$K15,N('[1]ATS USA'!P15))&lt;=0,"",MIN(N(INDEX([1]Parametros!G$16:G$20,MATCH($C15,[1]Parametros!$A$16:$A$20,0)))*$K15,N('[1]ATS USA'!P15)))</f>
        <v/>
      </c>
      <c r="R15" s="9" t="str">
        <f>IF(MIN(N(INDEX([1]Parametros!H$16:H$20,MATCH($C15,[1]Parametros!$A$16:$A$20,0)))*$K15,N('[1]ATS USA'!Q15))&lt;=0,"",MIN(N(INDEX([1]Parametros!H$16:H$20,MATCH($C15,[1]Parametros!$A$16:$A$20,0)))*$K15,N('[1]ATS USA'!Q15)))</f>
        <v/>
      </c>
      <c r="S15" s="9" t="str">
        <f>IF(MIN(N(INDEX([1]Parametros!I$16:I$20,MATCH($C15,[1]Parametros!$A$16:$A$20,0)))*$K15,N('[1]ATS USA'!R15))&lt;=0,"",MIN(N(INDEX([1]Parametros!I$16:I$20,MATCH($C15,[1]Parametros!$A$16:$A$20,0)))*$K15,N('[1]ATS USA'!R15)))</f>
        <v/>
      </c>
      <c r="T15" s="9" t="str">
        <f>IF(MIN(N(INDEX([1]Parametros!J$16:J$20,MATCH($C15,[1]Parametros!$A$16:$A$20,0)))*$K15,N('[1]ATS USA'!S15))&lt;=0,"",MIN(N(INDEX([1]Parametros!J$16:J$20,MATCH($C15,[1]Parametros!$A$16:$A$20,0)))*$K15,N('[1]ATS USA'!S15)))</f>
        <v/>
      </c>
      <c r="U15" s="9" t="str">
        <f>IF(MIN(N(INDEX([1]Parametros!K$16:K$20,MATCH($C15,[1]Parametros!$A$16:$A$20,0)))*$K15,N('[1]ATS USA'!T15))&lt;=0,"",MIN(N(INDEX([1]Parametros!K$16:K$20,MATCH($C15,[1]Parametros!$A$16:$A$20,0)))*$K15,N('[1]ATS USA'!T15)))</f>
        <v/>
      </c>
      <c r="V15" s="10">
        <f>IF(MIN(N(INDEX([1]Parametros!L$16:L$20,MATCH($C15,[1]Parametros!$A$16:$A$20,0)))*$K15,N('[1]ATS USA'!U15))&lt;=0,"",MIN(N(INDEX([1]Parametros!L$16:L$20,MATCH($C15,[1]Parametros!$A$16:$A$20,0)))*$K15,N('[1]ATS USA'!U15)))</f>
        <v>2</v>
      </c>
      <c r="W15" s="10">
        <f>IF(MIN(N(INDEX([1]Parametros!M$16:M$20,MATCH($C15,[1]Parametros!$A$16:$A$20,0)))*$K15,N('[1]ATS USA'!V15))&lt;=0,"",MIN(N(INDEX([1]Parametros!M$16:M$20,MATCH($C15,[1]Parametros!$A$16:$A$20,0)))*$K15,N('[1]ATS USA'!V15)))</f>
        <v>4</v>
      </c>
      <c r="X15" s="10">
        <f>IF(MIN(N(INDEX([1]Parametros!N$16:N$20,MATCH($C15,[1]Parametros!$A$16:$A$20,0)))*$K15,N('[1]ATS USA'!W15))&lt;=0,"",MIN(N(INDEX([1]Parametros!N$16:N$20,MATCH($C15,[1]Parametros!$A$16:$A$20,0)))*$K15,N('[1]ATS USA'!W15)))</f>
        <v>4</v>
      </c>
      <c r="Y15" s="10">
        <f>IF(MIN(N(INDEX([1]Parametros!O$16:O$20,MATCH($C15,[1]Parametros!$A$16:$A$20,0)))*$K15,N('[1]ATS USA'!X15))&lt;=0,"",MIN(N(INDEX([1]Parametros!O$16:O$20,MATCH($C15,[1]Parametros!$A$16:$A$20,0)))*$K15,N('[1]ATS USA'!X15)))</f>
        <v>4</v>
      </c>
      <c r="Z15" s="10">
        <f>IF(MIN(N(INDEX([1]Parametros!P$16:P$20,MATCH($C15,[1]Parametros!$A$16:$A$20,0)))*$K15,N('[1]ATS USA'!Y15))&lt;=0,"",MIN(N(INDEX([1]Parametros!P$16:P$20,MATCH($C15,[1]Parametros!$A$16:$A$20,0)))*$K15,N('[1]ATS USA'!Y15)))</f>
        <v>2</v>
      </c>
      <c r="AA15" s="9">
        <f>IF(MIN(N(INDEX([1]Parametros!Q$16:Q$20,MATCH($C15,[1]Parametros!$A$16:$A$20,0)))*$K15,N('[1]ATS USA'!Z15))&lt;=0,"",MIN(N(INDEX([1]Parametros!Q$16:Q$20,MATCH($C15,[1]Parametros!$A$16:$A$20,0)))*$K15,N('[1]ATS USA'!Z15)))</f>
        <v>2</v>
      </c>
      <c r="AB15" s="10">
        <f>IF(MIN(N(INDEX([1]Parametros!R$16:R$20,MATCH($C15,[1]Parametros!$A$16:$A$20,0)))*$K15,N('[1]ATS USA'!AA15))&lt;=0,"",MIN(N(INDEX([1]Parametros!R$16:R$20,MATCH($C15,[1]Parametros!$A$16:$A$20,0)))*$K15,N('[1]ATS USA'!AA15)))</f>
        <v>2</v>
      </c>
      <c r="AC15" s="9" t="str">
        <f>IF(MIN(N(INDEX([1]Parametros!S$16:S$20,MATCH($C15,[1]Parametros!$A$16:$A$20,0)))*$K15,N('[1]ATS USA'!AB15))&lt;=0,"",MIN(N(INDEX([1]Parametros!S$16:S$20,MATCH($C15,[1]Parametros!$A$16:$A$20,0)))*$K15,N('[1]ATS USA'!AB15)))</f>
        <v/>
      </c>
      <c r="AD15" s="10" t="str">
        <f>IF(MIN(N(INDEX([1]Parametros!T$16:T$20,MATCH($C15,[1]Parametros!$A$16:$A$20,0)))*$K15,N('[1]ATS USA'!AC15))&lt;=0,"",MIN(N(INDEX([1]Parametros!T$16:T$20,MATCH($C15,[1]Parametros!$A$16:$A$20,0)))*$K15,N('[1]ATS USA'!AC15)))</f>
        <v/>
      </c>
      <c r="AE15" s="9" t="str">
        <f>IF(MIN(N(INDEX([1]Parametros!U$16:U$20,MATCH($C15,[1]Parametros!$A$16:$A$20,0)))*$K15,N('[1]ATS USA'!AD15))&lt;=0,"",MIN(N(INDEX([1]Parametros!U$16:U$20,MATCH($C15,[1]Parametros!$A$16:$A$20,0)))*$K15,N('[1]ATS USA'!AD15)))</f>
        <v/>
      </c>
      <c r="AF15" s="11">
        <f t="shared" si="0"/>
        <v>20</v>
      </c>
      <c r="AG15" s="12" t="str">
        <f t="shared" si="1"/>
        <v>AJUSTAR</v>
      </c>
      <c r="AH15" s="6">
        <f t="shared" si="2"/>
        <v>1110</v>
      </c>
      <c r="AI15" s="9">
        <f t="shared" si="3"/>
        <v>4</v>
      </c>
      <c r="AJ15" s="13">
        <f>IF(LEFT($A15,8)="Tránsito",IFERROR(_xlfn.XLOOKUP(--$E15,'[1]Reserva Territorios'!$C:$C,'[1]Reserva Territorios'!$J:$J),0),0)</f>
        <v>0</v>
      </c>
      <c r="AK15" s="13">
        <f t="shared" si="4"/>
        <v>20</v>
      </c>
    </row>
    <row r="16" spans="1:37" ht="48.95" customHeight="1" x14ac:dyDescent="0.25">
      <c r="A16" s="3" t="s">
        <v>37</v>
      </c>
      <c r="B16" s="4" t="s">
        <v>76</v>
      </c>
      <c r="C16" s="4" t="s">
        <v>39</v>
      </c>
      <c r="D16" s="4" t="s">
        <v>88</v>
      </c>
      <c r="E16" s="4" t="s">
        <v>92</v>
      </c>
      <c r="F16" s="4" t="s">
        <v>93</v>
      </c>
      <c r="G16" s="4" t="s">
        <v>94</v>
      </c>
      <c r="H16" s="5">
        <v>55.5</v>
      </c>
      <c r="I16" s="6">
        <v>180</v>
      </c>
      <c r="J16" s="7">
        <f>ROUND(I16*[1]Parametros!$B$10,-3)</f>
        <v>642000</v>
      </c>
      <c r="K16" s="8">
        <v>1</v>
      </c>
      <c r="L16" s="9" t="str">
        <f>IF(MIN(N(INDEX([1]Parametros!B$16:B$20,MATCH($C16,[1]Parametros!$A$16:$A$20,0)))*$K16,N('[1]ATS USA'!K16))&lt;=0,"",MIN(N(INDEX([1]Parametros!B$16:B$20,MATCH($C16,[1]Parametros!$A$16:$A$20,0)))*$K16,N('[1]ATS USA'!K16)))</f>
        <v/>
      </c>
      <c r="M16" s="9" t="str">
        <f>IF(MIN(N(INDEX([1]Parametros!C$16:C$20,MATCH($C16,[1]Parametros!$A$16:$A$20,0)))*$K16,N('[1]ATS USA'!L16))&lt;=0,"",MIN(N(INDEX([1]Parametros!C$16:C$20,MATCH($C16,[1]Parametros!$A$16:$A$20,0)))*$K16,N('[1]ATS USA'!L16)))</f>
        <v/>
      </c>
      <c r="N16" s="9" t="str">
        <f>IF(MIN(N(INDEX([1]Parametros!D$16:D$20,MATCH($C16,[1]Parametros!$A$16:$A$20,0)))*$K16,N('[1]ATS USA'!M16))&lt;=0,"",MIN(N(INDEX([1]Parametros!D$16:D$20,MATCH($C16,[1]Parametros!$A$16:$A$20,0)))*$K16,N('[1]ATS USA'!M16)))</f>
        <v/>
      </c>
      <c r="O16" s="9" t="str">
        <f>IF(MIN(N(INDEX([1]Parametros!E$16:E$20,MATCH($C16,[1]Parametros!$A$16:$A$20,0)))*$K16,N('[1]ATS USA'!N16))&lt;=0,"",MIN(N(INDEX([1]Parametros!E$16:E$20,MATCH($C16,[1]Parametros!$A$16:$A$20,0)))*$K16,N('[1]ATS USA'!N16)))</f>
        <v/>
      </c>
      <c r="P16" s="9" t="str">
        <f>IF(MIN(N(INDEX([1]Parametros!F$16:F$20,MATCH($C16,[1]Parametros!$A$16:$A$20,0)))*$K16,N('[1]ATS USA'!O16))&lt;=0,"",MIN(N(INDEX([1]Parametros!F$16:F$20,MATCH($C16,[1]Parametros!$A$16:$A$20,0)))*$K16,N('[1]ATS USA'!O16)))</f>
        <v/>
      </c>
      <c r="Q16" s="9" t="str">
        <f>IF(MIN(N(INDEX([1]Parametros!G$16:G$20,MATCH($C16,[1]Parametros!$A$16:$A$20,0)))*$K16,N('[1]ATS USA'!P16))&lt;=0,"",MIN(N(INDEX([1]Parametros!G$16:G$20,MATCH($C16,[1]Parametros!$A$16:$A$20,0)))*$K16,N('[1]ATS USA'!P16)))</f>
        <v/>
      </c>
      <c r="R16" s="9" t="str">
        <f>IF(MIN(N(INDEX([1]Parametros!H$16:H$20,MATCH($C16,[1]Parametros!$A$16:$A$20,0)))*$K16,N('[1]ATS USA'!Q16))&lt;=0,"",MIN(N(INDEX([1]Parametros!H$16:H$20,MATCH($C16,[1]Parametros!$A$16:$A$20,0)))*$K16,N('[1]ATS USA'!Q16)))</f>
        <v/>
      </c>
      <c r="S16" s="9" t="str">
        <f>IF(MIN(N(INDEX([1]Parametros!I$16:I$20,MATCH($C16,[1]Parametros!$A$16:$A$20,0)))*$K16,N('[1]ATS USA'!R16))&lt;=0,"",MIN(N(INDEX([1]Parametros!I$16:I$20,MATCH($C16,[1]Parametros!$A$16:$A$20,0)))*$K16,N('[1]ATS USA'!R16)))</f>
        <v/>
      </c>
      <c r="T16" s="10">
        <f>IF(MIN(N(INDEX([1]Parametros!J$16:J$20,MATCH($C16,[1]Parametros!$A$16:$A$20,0)))*$K16,N('[1]ATS USA'!S16))&lt;=0,"",MIN(N(INDEX([1]Parametros!J$16:J$20,MATCH($C16,[1]Parametros!$A$16:$A$20,0)))*$K16,N('[1]ATS USA'!S16)))</f>
        <v>1</v>
      </c>
      <c r="U16" s="9">
        <f>IF(MIN(N(INDEX([1]Parametros!K$16:K$20,MATCH($C16,[1]Parametros!$A$16:$A$20,0)))*$K16,N('[1]ATS USA'!T16))&lt;=0,"",MIN(N(INDEX([1]Parametros!K$16:K$20,MATCH($C16,[1]Parametros!$A$16:$A$20,0)))*$K16,N('[1]ATS USA'!T16)))</f>
        <v>1</v>
      </c>
      <c r="V16" s="10">
        <f>IF(MIN(N(INDEX([1]Parametros!L$16:L$20,MATCH($C16,[1]Parametros!$A$16:$A$20,0)))*$K16,N('[1]ATS USA'!U16))&lt;=0,"",MIN(N(INDEX([1]Parametros!L$16:L$20,MATCH($C16,[1]Parametros!$A$16:$A$20,0)))*$K16,N('[1]ATS USA'!U16)))</f>
        <v>1</v>
      </c>
      <c r="W16" s="10">
        <f>IF(MIN(N(INDEX([1]Parametros!M$16:M$20,MATCH($C16,[1]Parametros!$A$16:$A$20,0)))*$K16,N('[1]ATS USA'!V16))&lt;=0,"",MIN(N(INDEX([1]Parametros!M$16:M$20,MATCH($C16,[1]Parametros!$A$16:$A$20,0)))*$K16,N('[1]ATS USA'!V16)))</f>
        <v>2</v>
      </c>
      <c r="X16" s="10">
        <f>IF(MIN(N(INDEX([1]Parametros!N$16:N$20,MATCH($C16,[1]Parametros!$A$16:$A$20,0)))*$K16,N('[1]ATS USA'!W16))&lt;=0,"",MIN(N(INDEX([1]Parametros!N$16:N$20,MATCH($C16,[1]Parametros!$A$16:$A$20,0)))*$K16,N('[1]ATS USA'!W16)))</f>
        <v>2</v>
      </c>
      <c r="Y16" s="10">
        <f>IF(MIN(N(INDEX([1]Parametros!O$16:O$20,MATCH($C16,[1]Parametros!$A$16:$A$20,0)))*$K16,N('[1]ATS USA'!X16))&lt;=0,"",MIN(N(INDEX([1]Parametros!O$16:O$20,MATCH($C16,[1]Parametros!$A$16:$A$20,0)))*$K16,N('[1]ATS USA'!X16)))</f>
        <v>2</v>
      </c>
      <c r="Z16" s="10">
        <f>IF(MIN(N(INDEX([1]Parametros!P$16:P$20,MATCH($C16,[1]Parametros!$A$16:$A$20,0)))*$K16,N('[1]ATS USA'!Y16))&lt;=0,"",MIN(N(INDEX([1]Parametros!P$16:P$20,MATCH($C16,[1]Parametros!$A$16:$A$20,0)))*$K16,N('[1]ATS USA'!Y16)))</f>
        <v>1</v>
      </c>
      <c r="AA16" s="9">
        <f>IF(MIN(N(INDEX([1]Parametros!Q$16:Q$20,MATCH($C16,[1]Parametros!$A$16:$A$20,0)))*$K16,N('[1]ATS USA'!Z16))&lt;=0,"",MIN(N(INDEX([1]Parametros!Q$16:Q$20,MATCH($C16,[1]Parametros!$A$16:$A$20,0)))*$K16,N('[1]ATS USA'!Z16)))</f>
        <v>1</v>
      </c>
      <c r="AB16" s="10">
        <f>IF(MIN(N(INDEX([1]Parametros!R$16:R$20,MATCH($C16,[1]Parametros!$A$16:$A$20,0)))*$K16,N('[1]ATS USA'!AA16))&lt;=0,"",MIN(N(INDEX([1]Parametros!R$16:R$20,MATCH($C16,[1]Parametros!$A$16:$A$20,0)))*$K16,N('[1]ATS USA'!AA16)))</f>
        <v>1</v>
      </c>
      <c r="AC16" s="9" t="str">
        <f>IF(MIN(N(INDEX([1]Parametros!S$16:S$20,MATCH($C16,[1]Parametros!$A$16:$A$20,0)))*$K16,N('[1]ATS USA'!AB16))&lt;=0,"",MIN(N(INDEX([1]Parametros!S$16:S$20,MATCH($C16,[1]Parametros!$A$16:$A$20,0)))*$K16,N('[1]ATS USA'!AB16)))</f>
        <v/>
      </c>
      <c r="AD16" s="10" t="str">
        <f>IF(MIN(N(INDEX([1]Parametros!T$16:T$20,MATCH($C16,[1]Parametros!$A$16:$A$20,0)))*$K16,N('[1]ATS USA'!AC16))&lt;=0,"",MIN(N(INDEX([1]Parametros!T$16:T$20,MATCH($C16,[1]Parametros!$A$16:$A$20,0)))*$K16,N('[1]ATS USA'!AC16)))</f>
        <v/>
      </c>
      <c r="AE16" s="9" t="str">
        <f>IF(MIN(N(INDEX([1]Parametros!U$16:U$20,MATCH($C16,[1]Parametros!$A$16:$A$20,0)))*$K16,N('[1]ATS USA'!AD16))&lt;=0,"",MIN(N(INDEX([1]Parametros!U$16:U$20,MATCH($C16,[1]Parametros!$A$16:$A$20,0)))*$K16,N('[1]ATS USA'!AD16)))</f>
        <v/>
      </c>
      <c r="AF16" s="11">
        <f t="shared" si="0"/>
        <v>12</v>
      </c>
      <c r="AG16" s="12" t="str">
        <f t="shared" si="1"/>
        <v>OK</v>
      </c>
      <c r="AH16" s="6">
        <f t="shared" si="2"/>
        <v>666</v>
      </c>
      <c r="AI16" s="9">
        <f t="shared" si="3"/>
        <v>0</v>
      </c>
      <c r="AJ16" s="13">
        <f>IF(LEFT($A16,8)="Tránsito",IFERROR(_xlfn.XLOOKUP(--$E16,'[1]Reserva Territorios'!$C:$C,'[1]Reserva Territorios'!$J:$J),0),0)</f>
        <v>0</v>
      </c>
      <c r="AK16" s="13">
        <f t="shared" si="4"/>
        <v>12</v>
      </c>
    </row>
    <row r="17" spans="1:37" ht="48.95" customHeight="1" x14ac:dyDescent="0.25">
      <c r="A17" s="3" t="s">
        <v>37</v>
      </c>
      <c r="B17" s="4" t="s">
        <v>76</v>
      </c>
      <c r="C17" s="4" t="s">
        <v>39</v>
      </c>
      <c r="D17" s="4" t="s">
        <v>95</v>
      </c>
      <c r="E17" s="4" t="s">
        <v>96</v>
      </c>
      <c r="F17" s="4" t="s">
        <v>97</v>
      </c>
      <c r="G17" s="4" t="s">
        <v>98</v>
      </c>
      <c r="H17" s="5">
        <v>53.5</v>
      </c>
      <c r="I17" s="6">
        <v>190</v>
      </c>
      <c r="J17" s="7">
        <f>ROUND(I17*[1]Parametros!$B$10,-3)</f>
        <v>678000</v>
      </c>
      <c r="K17" s="8">
        <v>2</v>
      </c>
      <c r="L17" s="9" t="str">
        <f>IF(MIN(N(INDEX([1]Parametros!B$16:B$20,MATCH($C17,[1]Parametros!$A$16:$A$20,0)))*$K17,N('[1]ATS USA'!K17))&lt;=0,"",MIN(N(INDEX([1]Parametros!B$16:B$20,MATCH($C17,[1]Parametros!$A$16:$A$20,0)))*$K17,N('[1]ATS USA'!K17)))</f>
        <v/>
      </c>
      <c r="M17" s="9" t="str">
        <f>IF(MIN(N(INDEX([1]Parametros!C$16:C$20,MATCH($C17,[1]Parametros!$A$16:$A$20,0)))*$K17,N('[1]ATS USA'!L17))&lt;=0,"",MIN(N(INDEX([1]Parametros!C$16:C$20,MATCH($C17,[1]Parametros!$A$16:$A$20,0)))*$K17,N('[1]ATS USA'!L17)))</f>
        <v/>
      </c>
      <c r="N17" s="9" t="str">
        <f>IF(MIN(N(INDEX([1]Parametros!D$16:D$20,MATCH($C17,[1]Parametros!$A$16:$A$20,0)))*$K17,N('[1]ATS USA'!M17))&lt;=0,"",MIN(N(INDEX([1]Parametros!D$16:D$20,MATCH($C17,[1]Parametros!$A$16:$A$20,0)))*$K17,N('[1]ATS USA'!M17)))</f>
        <v/>
      </c>
      <c r="O17" s="9" t="str">
        <f>IF(MIN(N(INDEX([1]Parametros!E$16:E$20,MATCH($C17,[1]Parametros!$A$16:$A$20,0)))*$K17,N('[1]ATS USA'!N17))&lt;=0,"",MIN(N(INDEX([1]Parametros!E$16:E$20,MATCH($C17,[1]Parametros!$A$16:$A$20,0)))*$K17,N('[1]ATS USA'!N17)))</f>
        <v/>
      </c>
      <c r="P17" s="9" t="str">
        <f>IF(MIN(N(INDEX([1]Parametros!F$16:F$20,MATCH($C17,[1]Parametros!$A$16:$A$20,0)))*$K17,N('[1]ATS USA'!O17))&lt;=0,"",MIN(N(INDEX([1]Parametros!F$16:F$20,MATCH($C17,[1]Parametros!$A$16:$A$20,0)))*$K17,N('[1]ATS USA'!O17)))</f>
        <v/>
      </c>
      <c r="Q17" s="9" t="str">
        <f>IF(MIN(N(INDEX([1]Parametros!G$16:G$20,MATCH($C17,[1]Parametros!$A$16:$A$20,0)))*$K17,N('[1]ATS USA'!P17))&lt;=0,"",MIN(N(INDEX([1]Parametros!G$16:G$20,MATCH($C17,[1]Parametros!$A$16:$A$20,0)))*$K17,N('[1]ATS USA'!P17)))</f>
        <v/>
      </c>
      <c r="R17" s="9" t="str">
        <f>IF(MIN(N(INDEX([1]Parametros!H$16:H$20,MATCH($C17,[1]Parametros!$A$16:$A$20,0)))*$K17,N('[1]ATS USA'!Q17))&lt;=0,"",MIN(N(INDEX([1]Parametros!H$16:H$20,MATCH($C17,[1]Parametros!$A$16:$A$20,0)))*$K17,N('[1]ATS USA'!Q17)))</f>
        <v/>
      </c>
      <c r="S17" s="9" t="str">
        <f>IF(MIN(N(INDEX([1]Parametros!I$16:I$20,MATCH($C17,[1]Parametros!$A$16:$A$20,0)))*$K17,N('[1]ATS USA'!R17))&lt;=0,"",MIN(N(INDEX([1]Parametros!I$16:I$20,MATCH($C17,[1]Parametros!$A$16:$A$20,0)))*$K17,N('[1]ATS USA'!R17)))</f>
        <v/>
      </c>
      <c r="T17" s="9" t="str">
        <f>IF(MIN(N(INDEX([1]Parametros!J$16:J$20,MATCH($C17,[1]Parametros!$A$16:$A$20,0)))*$K17,N('[1]ATS USA'!S17))&lt;=0,"",MIN(N(INDEX([1]Parametros!J$16:J$20,MATCH($C17,[1]Parametros!$A$16:$A$20,0)))*$K17,N('[1]ATS USA'!S17)))</f>
        <v/>
      </c>
      <c r="U17" s="9">
        <f>IF(MIN(N(INDEX([1]Parametros!K$16:K$20,MATCH($C17,[1]Parametros!$A$16:$A$20,0)))*$K17,N('[1]ATS USA'!T17))&lt;=0,"",MIN(N(INDEX([1]Parametros!K$16:K$20,MATCH($C17,[1]Parametros!$A$16:$A$20,0)))*$K17,N('[1]ATS USA'!T17)))</f>
        <v>2</v>
      </c>
      <c r="V17" s="10">
        <f>IF(MIN(N(INDEX([1]Parametros!L$16:L$20,MATCH($C17,[1]Parametros!$A$16:$A$20,0)))*$K17,N('[1]ATS USA'!U17))&lt;=0,"",MIN(N(INDEX([1]Parametros!L$16:L$20,MATCH($C17,[1]Parametros!$A$16:$A$20,0)))*$K17,N('[1]ATS USA'!U17)))</f>
        <v>2</v>
      </c>
      <c r="W17" s="10">
        <f>IF(MIN(N(INDEX([1]Parametros!M$16:M$20,MATCH($C17,[1]Parametros!$A$16:$A$20,0)))*$K17,N('[1]ATS USA'!V17))&lt;=0,"",MIN(N(INDEX([1]Parametros!M$16:M$20,MATCH($C17,[1]Parametros!$A$16:$A$20,0)))*$K17,N('[1]ATS USA'!V17)))</f>
        <v>4</v>
      </c>
      <c r="X17" s="10">
        <f>IF(MIN(N(INDEX([1]Parametros!N$16:N$20,MATCH($C17,[1]Parametros!$A$16:$A$20,0)))*$K17,N('[1]ATS USA'!W17))&lt;=0,"",MIN(N(INDEX([1]Parametros!N$16:N$20,MATCH($C17,[1]Parametros!$A$16:$A$20,0)))*$K17,N('[1]ATS USA'!W17)))</f>
        <v>4</v>
      </c>
      <c r="Y17" s="10">
        <f>IF(MIN(N(INDEX([1]Parametros!O$16:O$20,MATCH($C17,[1]Parametros!$A$16:$A$20,0)))*$K17,N('[1]ATS USA'!X17))&lt;=0,"",MIN(N(INDEX([1]Parametros!O$16:O$20,MATCH($C17,[1]Parametros!$A$16:$A$20,0)))*$K17,N('[1]ATS USA'!X17)))</f>
        <v>4</v>
      </c>
      <c r="Z17" s="10">
        <f>IF(MIN(N(INDEX([1]Parametros!P$16:P$20,MATCH($C17,[1]Parametros!$A$16:$A$20,0)))*$K17,N('[1]ATS USA'!Y17))&lt;=0,"",MIN(N(INDEX([1]Parametros!P$16:P$20,MATCH($C17,[1]Parametros!$A$16:$A$20,0)))*$K17,N('[1]ATS USA'!Y17)))</f>
        <v>2</v>
      </c>
      <c r="AA17" s="9">
        <f>IF(MIN(N(INDEX([1]Parametros!Q$16:Q$20,MATCH($C17,[1]Parametros!$A$16:$A$20,0)))*$K17,N('[1]ATS USA'!Z17))&lt;=0,"",MIN(N(INDEX([1]Parametros!Q$16:Q$20,MATCH($C17,[1]Parametros!$A$16:$A$20,0)))*$K17,N('[1]ATS USA'!Z17)))</f>
        <v>2</v>
      </c>
      <c r="AB17" s="10">
        <f>IF(MIN(N(INDEX([1]Parametros!R$16:R$20,MATCH($C17,[1]Parametros!$A$16:$A$20,0)))*$K17,N('[1]ATS USA'!AA17))&lt;=0,"",MIN(N(INDEX([1]Parametros!R$16:R$20,MATCH($C17,[1]Parametros!$A$16:$A$20,0)))*$K17,N('[1]ATS USA'!AA17)))</f>
        <v>2</v>
      </c>
      <c r="AC17" s="9" t="str">
        <f>IF(MIN(N(INDEX([1]Parametros!S$16:S$20,MATCH($C17,[1]Parametros!$A$16:$A$20,0)))*$K17,N('[1]ATS USA'!AB17))&lt;=0,"",MIN(N(INDEX([1]Parametros!S$16:S$20,MATCH($C17,[1]Parametros!$A$16:$A$20,0)))*$K17,N('[1]ATS USA'!AB17)))</f>
        <v/>
      </c>
      <c r="AD17" s="10" t="str">
        <f>IF(MIN(N(INDEX([1]Parametros!T$16:T$20,MATCH($C17,[1]Parametros!$A$16:$A$20,0)))*$K17,N('[1]ATS USA'!AC17))&lt;=0,"",MIN(N(INDEX([1]Parametros!T$16:T$20,MATCH($C17,[1]Parametros!$A$16:$A$20,0)))*$K17,N('[1]ATS USA'!AC17)))</f>
        <v/>
      </c>
      <c r="AE17" s="9" t="str">
        <f>IF(MIN(N(INDEX([1]Parametros!U$16:U$20,MATCH($C17,[1]Parametros!$A$16:$A$20,0)))*$K17,N('[1]ATS USA'!AD17))&lt;=0,"",MIN(N(INDEX([1]Parametros!U$16:U$20,MATCH($C17,[1]Parametros!$A$16:$A$20,0)))*$K17,N('[1]ATS USA'!AD17)))</f>
        <v/>
      </c>
      <c r="AF17" s="11">
        <f t="shared" si="0"/>
        <v>22</v>
      </c>
      <c r="AG17" s="12" t="str">
        <f t="shared" si="1"/>
        <v>AJUSTAR</v>
      </c>
      <c r="AH17" s="6">
        <f t="shared" si="2"/>
        <v>1177</v>
      </c>
      <c r="AI17" s="9">
        <f t="shared" si="3"/>
        <v>2</v>
      </c>
      <c r="AJ17" s="13">
        <f>IF(LEFT($A17,8)="Tránsito",IFERROR(_xlfn.XLOOKUP(--$E17,'[1]Reserva Territorios'!$C:$C,'[1]Reserva Territorios'!$J:$J),0),0)</f>
        <v>0</v>
      </c>
      <c r="AK17" s="13">
        <f t="shared" si="4"/>
        <v>22</v>
      </c>
    </row>
    <row r="18" spans="1:37" ht="48.95" customHeight="1" x14ac:dyDescent="0.25">
      <c r="A18" s="3" t="s">
        <v>37</v>
      </c>
      <c r="B18" s="4" t="s">
        <v>76</v>
      </c>
      <c r="C18" s="4" t="s">
        <v>39</v>
      </c>
      <c r="D18" s="4" t="s">
        <v>95</v>
      </c>
      <c r="E18" s="4" t="s">
        <v>99</v>
      </c>
      <c r="F18" s="4" t="s">
        <v>100</v>
      </c>
      <c r="G18" s="4" t="s">
        <v>101</v>
      </c>
      <c r="H18" s="5">
        <v>53.5</v>
      </c>
      <c r="I18" s="6">
        <v>190</v>
      </c>
      <c r="J18" s="7">
        <f>ROUND(I18*[1]Parametros!$B$10,-3)</f>
        <v>678000</v>
      </c>
      <c r="K18" s="8">
        <v>2</v>
      </c>
      <c r="L18" s="9" t="str">
        <f>IF(MIN(N(INDEX([1]Parametros!B$16:B$20,MATCH($C18,[1]Parametros!$A$16:$A$20,0)))*$K18,N('[1]ATS USA'!K18))&lt;=0,"",MIN(N(INDEX([1]Parametros!B$16:B$20,MATCH($C18,[1]Parametros!$A$16:$A$20,0)))*$K18,N('[1]ATS USA'!K18)))</f>
        <v/>
      </c>
      <c r="M18" s="9" t="str">
        <f>IF(MIN(N(INDEX([1]Parametros!C$16:C$20,MATCH($C18,[1]Parametros!$A$16:$A$20,0)))*$K18,N('[1]ATS USA'!L18))&lt;=0,"",MIN(N(INDEX([1]Parametros!C$16:C$20,MATCH($C18,[1]Parametros!$A$16:$A$20,0)))*$K18,N('[1]ATS USA'!L18)))</f>
        <v/>
      </c>
      <c r="N18" s="9" t="str">
        <f>IF(MIN(N(INDEX([1]Parametros!D$16:D$20,MATCH($C18,[1]Parametros!$A$16:$A$20,0)))*$K18,N('[1]ATS USA'!M18))&lt;=0,"",MIN(N(INDEX([1]Parametros!D$16:D$20,MATCH($C18,[1]Parametros!$A$16:$A$20,0)))*$K18,N('[1]ATS USA'!M18)))</f>
        <v/>
      </c>
      <c r="O18" s="9" t="str">
        <f>IF(MIN(N(INDEX([1]Parametros!E$16:E$20,MATCH($C18,[1]Parametros!$A$16:$A$20,0)))*$K18,N('[1]ATS USA'!N18))&lt;=0,"",MIN(N(INDEX([1]Parametros!E$16:E$20,MATCH($C18,[1]Parametros!$A$16:$A$20,0)))*$K18,N('[1]ATS USA'!N18)))</f>
        <v/>
      </c>
      <c r="P18" s="9" t="str">
        <f>IF(MIN(N(INDEX([1]Parametros!F$16:F$20,MATCH($C18,[1]Parametros!$A$16:$A$20,0)))*$K18,N('[1]ATS USA'!O18))&lt;=0,"",MIN(N(INDEX([1]Parametros!F$16:F$20,MATCH($C18,[1]Parametros!$A$16:$A$20,0)))*$K18,N('[1]ATS USA'!O18)))</f>
        <v/>
      </c>
      <c r="Q18" s="9" t="str">
        <f>IF(MIN(N(INDEX([1]Parametros!G$16:G$20,MATCH($C18,[1]Parametros!$A$16:$A$20,0)))*$K18,N('[1]ATS USA'!P18))&lt;=0,"",MIN(N(INDEX([1]Parametros!G$16:G$20,MATCH($C18,[1]Parametros!$A$16:$A$20,0)))*$K18,N('[1]ATS USA'!P18)))</f>
        <v/>
      </c>
      <c r="R18" s="9" t="str">
        <f>IF(MIN(N(INDEX([1]Parametros!H$16:H$20,MATCH($C18,[1]Parametros!$A$16:$A$20,0)))*$K18,N('[1]ATS USA'!Q18))&lt;=0,"",MIN(N(INDEX([1]Parametros!H$16:H$20,MATCH($C18,[1]Parametros!$A$16:$A$20,0)))*$K18,N('[1]ATS USA'!Q18)))</f>
        <v/>
      </c>
      <c r="S18" s="9" t="str">
        <f>IF(MIN(N(INDEX([1]Parametros!I$16:I$20,MATCH($C18,[1]Parametros!$A$16:$A$20,0)))*$K18,N('[1]ATS USA'!R18))&lt;=0,"",MIN(N(INDEX([1]Parametros!I$16:I$20,MATCH($C18,[1]Parametros!$A$16:$A$20,0)))*$K18,N('[1]ATS USA'!R18)))</f>
        <v/>
      </c>
      <c r="T18" s="9" t="str">
        <f>IF(MIN(N(INDEX([1]Parametros!J$16:J$20,MATCH($C18,[1]Parametros!$A$16:$A$20,0)))*$K18,N('[1]ATS USA'!S18))&lt;=0,"",MIN(N(INDEX([1]Parametros!J$16:J$20,MATCH($C18,[1]Parametros!$A$16:$A$20,0)))*$K18,N('[1]ATS USA'!S18)))</f>
        <v/>
      </c>
      <c r="U18" s="9" t="str">
        <f>IF(MIN(N(INDEX([1]Parametros!K$16:K$20,MATCH($C18,[1]Parametros!$A$16:$A$20,0)))*$K18,N('[1]ATS USA'!T18))&lt;=0,"",MIN(N(INDEX([1]Parametros!K$16:K$20,MATCH($C18,[1]Parametros!$A$16:$A$20,0)))*$K18,N('[1]ATS USA'!T18)))</f>
        <v/>
      </c>
      <c r="V18" s="10">
        <f>IF(MIN(N(INDEX([1]Parametros!L$16:L$20,MATCH($C18,[1]Parametros!$A$16:$A$20,0)))*$K18,N('[1]ATS USA'!U18))&lt;=0,"",MIN(N(INDEX([1]Parametros!L$16:L$20,MATCH($C18,[1]Parametros!$A$16:$A$20,0)))*$K18,N('[1]ATS USA'!U18)))</f>
        <v>2</v>
      </c>
      <c r="W18" s="10">
        <f>IF(MIN(N(INDEX([1]Parametros!M$16:M$20,MATCH($C18,[1]Parametros!$A$16:$A$20,0)))*$K18,N('[1]ATS USA'!V18))&lt;=0,"",MIN(N(INDEX([1]Parametros!M$16:M$20,MATCH($C18,[1]Parametros!$A$16:$A$20,0)))*$K18,N('[1]ATS USA'!V18)))</f>
        <v>4</v>
      </c>
      <c r="X18" s="10">
        <f>IF(MIN(N(INDEX([1]Parametros!N$16:N$20,MATCH($C18,[1]Parametros!$A$16:$A$20,0)))*$K18,N('[1]ATS USA'!W18))&lt;=0,"",MIN(N(INDEX([1]Parametros!N$16:N$20,MATCH($C18,[1]Parametros!$A$16:$A$20,0)))*$K18,N('[1]ATS USA'!W18)))</f>
        <v>4</v>
      </c>
      <c r="Y18" s="10">
        <f>IF(MIN(N(INDEX([1]Parametros!O$16:O$20,MATCH($C18,[1]Parametros!$A$16:$A$20,0)))*$K18,N('[1]ATS USA'!X18))&lt;=0,"",MIN(N(INDEX([1]Parametros!O$16:O$20,MATCH($C18,[1]Parametros!$A$16:$A$20,0)))*$K18,N('[1]ATS USA'!X18)))</f>
        <v>4</v>
      </c>
      <c r="Z18" s="10">
        <f>IF(MIN(N(INDEX([1]Parametros!P$16:P$20,MATCH($C18,[1]Parametros!$A$16:$A$20,0)))*$K18,N('[1]ATS USA'!Y18))&lt;=0,"",MIN(N(INDEX([1]Parametros!P$16:P$20,MATCH($C18,[1]Parametros!$A$16:$A$20,0)))*$K18,N('[1]ATS USA'!Y18)))</f>
        <v>2</v>
      </c>
      <c r="AA18" s="9">
        <f>IF(MIN(N(INDEX([1]Parametros!Q$16:Q$20,MATCH($C18,[1]Parametros!$A$16:$A$20,0)))*$K18,N('[1]ATS USA'!Z18))&lt;=0,"",MIN(N(INDEX([1]Parametros!Q$16:Q$20,MATCH($C18,[1]Parametros!$A$16:$A$20,0)))*$K18,N('[1]ATS USA'!Z18)))</f>
        <v>2</v>
      </c>
      <c r="AB18" s="10">
        <f>IF(MIN(N(INDEX([1]Parametros!R$16:R$20,MATCH($C18,[1]Parametros!$A$16:$A$20,0)))*$K18,N('[1]ATS USA'!AA18))&lt;=0,"",MIN(N(INDEX([1]Parametros!R$16:R$20,MATCH($C18,[1]Parametros!$A$16:$A$20,0)))*$K18,N('[1]ATS USA'!AA18)))</f>
        <v>2</v>
      </c>
      <c r="AC18" s="9" t="str">
        <f>IF(MIN(N(INDEX([1]Parametros!S$16:S$20,MATCH($C18,[1]Parametros!$A$16:$A$20,0)))*$K18,N('[1]ATS USA'!AB18))&lt;=0,"",MIN(N(INDEX([1]Parametros!S$16:S$20,MATCH($C18,[1]Parametros!$A$16:$A$20,0)))*$K18,N('[1]ATS USA'!AB18)))</f>
        <v/>
      </c>
      <c r="AD18" s="10" t="str">
        <f>IF(MIN(N(INDEX([1]Parametros!T$16:T$20,MATCH($C18,[1]Parametros!$A$16:$A$20,0)))*$K18,N('[1]ATS USA'!AC18))&lt;=0,"",MIN(N(INDEX([1]Parametros!T$16:T$20,MATCH($C18,[1]Parametros!$A$16:$A$20,0)))*$K18,N('[1]ATS USA'!AC18)))</f>
        <v/>
      </c>
      <c r="AE18" s="9" t="str">
        <f>IF(MIN(N(INDEX([1]Parametros!U$16:U$20,MATCH($C18,[1]Parametros!$A$16:$A$20,0)))*$K18,N('[1]ATS USA'!AD18))&lt;=0,"",MIN(N(INDEX([1]Parametros!U$16:U$20,MATCH($C18,[1]Parametros!$A$16:$A$20,0)))*$K18,N('[1]ATS USA'!AD18)))</f>
        <v/>
      </c>
      <c r="AF18" s="11">
        <f t="shared" si="0"/>
        <v>20</v>
      </c>
      <c r="AG18" s="12" t="str">
        <f t="shared" si="1"/>
        <v>AJUSTAR</v>
      </c>
      <c r="AH18" s="6">
        <f t="shared" si="2"/>
        <v>1070</v>
      </c>
      <c r="AI18" s="9">
        <f t="shared" si="3"/>
        <v>4</v>
      </c>
      <c r="AJ18" s="13">
        <f>IF(LEFT($A18,8)="Tránsito",IFERROR(_xlfn.XLOOKUP(--$E18,'[1]Reserva Territorios'!$C:$C,'[1]Reserva Territorios'!$J:$J),0),0)</f>
        <v>0</v>
      </c>
      <c r="AK18" s="13">
        <f t="shared" si="4"/>
        <v>20</v>
      </c>
    </row>
    <row r="19" spans="1:37" ht="48.95" customHeight="1" x14ac:dyDescent="0.25">
      <c r="A19" s="3" t="s">
        <v>37</v>
      </c>
      <c r="B19" s="4" t="s">
        <v>76</v>
      </c>
      <c r="C19" s="4" t="s">
        <v>39</v>
      </c>
      <c r="D19" s="4" t="s">
        <v>102</v>
      </c>
      <c r="E19" s="4" t="s">
        <v>103</v>
      </c>
      <c r="F19" s="4" t="s">
        <v>104</v>
      </c>
      <c r="G19" s="4" t="s">
        <v>105</v>
      </c>
      <c r="H19" s="5">
        <v>51</v>
      </c>
      <c r="I19" s="6">
        <v>170</v>
      </c>
      <c r="J19" s="7">
        <f>ROUND(I19*[1]Parametros!$B$10,-3)</f>
        <v>607000</v>
      </c>
      <c r="K19" s="8">
        <v>1</v>
      </c>
      <c r="L19" s="9" t="str">
        <f>IF(MIN(N(INDEX([1]Parametros!B$16:B$20,MATCH($C19,[1]Parametros!$A$16:$A$20,0)))*$K19,N('[1]ATS USA'!K19))&lt;=0,"",MIN(N(INDEX([1]Parametros!B$16:B$20,MATCH($C19,[1]Parametros!$A$16:$A$20,0)))*$K19,N('[1]ATS USA'!K19)))</f>
        <v/>
      </c>
      <c r="M19" s="9" t="str">
        <f>IF(MIN(N(INDEX([1]Parametros!C$16:C$20,MATCH($C19,[1]Parametros!$A$16:$A$20,0)))*$K19,N('[1]ATS USA'!L19))&lt;=0,"",MIN(N(INDEX([1]Parametros!C$16:C$20,MATCH($C19,[1]Parametros!$A$16:$A$20,0)))*$K19,N('[1]ATS USA'!L19)))</f>
        <v/>
      </c>
      <c r="N19" s="9" t="str">
        <f>IF(MIN(N(INDEX([1]Parametros!D$16:D$20,MATCH($C19,[1]Parametros!$A$16:$A$20,0)))*$K19,N('[1]ATS USA'!M19))&lt;=0,"",MIN(N(INDEX([1]Parametros!D$16:D$20,MATCH($C19,[1]Parametros!$A$16:$A$20,0)))*$K19,N('[1]ATS USA'!M19)))</f>
        <v/>
      </c>
      <c r="O19" s="9" t="str">
        <f>IF(MIN(N(INDEX([1]Parametros!E$16:E$20,MATCH($C19,[1]Parametros!$A$16:$A$20,0)))*$K19,N('[1]ATS USA'!N19))&lt;=0,"",MIN(N(INDEX([1]Parametros!E$16:E$20,MATCH($C19,[1]Parametros!$A$16:$A$20,0)))*$K19,N('[1]ATS USA'!N19)))</f>
        <v/>
      </c>
      <c r="P19" s="9" t="str">
        <f>IF(MIN(N(INDEX([1]Parametros!F$16:F$20,MATCH($C19,[1]Parametros!$A$16:$A$20,0)))*$K19,N('[1]ATS USA'!O19))&lt;=0,"",MIN(N(INDEX([1]Parametros!F$16:F$20,MATCH($C19,[1]Parametros!$A$16:$A$20,0)))*$K19,N('[1]ATS USA'!O19)))</f>
        <v/>
      </c>
      <c r="Q19" s="9" t="str">
        <f>IF(MIN(N(INDEX([1]Parametros!G$16:G$20,MATCH($C19,[1]Parametros!$A$16:$A$20,0)))*$K19,N('[1]ATS USA'!P19))&lt;=0,"",MIN(N(INDEX([1]Parametros!G$16:G$20,MATCH($C19,[1]Parametros!$A$16:$A$20,0)))*$K19,N('[1]ATS USA'!P19)))</f>
        <v/>
      </c>
      <c r="R19" s="9" t="str">
        <f>IF(MIN(N(INDEX([1]Parametros!H$16:H$20,MATCH($C19,[1]Parametros!$A$16:$A$20,0)))*$K19,N('[1]ATS USA'!Q19))&lt;=0,"",MIN(N(INDEX([1]Parametros!H$16:H$20,MATCH($C19,[1]Parametros!$A$16:$A$20,0)))*$K19,N('[1]ATS USA'!Q19)))</f>
        <v/>
      </c>
      <c r="S19" s="9" t="str">
        <f>IF(MIN(N(INDEX([1]Parametros!I$16:I$20,MATCH($C19,[1]Parametros!$A$16:$A$20,0)))*$K19,N('[1]ATS USA'!R19))&lt;=0,"",MIN(N(INDEX([1]Parametros!I$16:I$20,MATCH($C19,[1]Parametros!$A$16:$A$20,0)))*$K19,N('[1]ATS USA'!R19)))</f>
        <v/>
      </c>
      <c r="T19" s="9" t="str">
        <f>IF(MIN(N(INDEX([1]Parametros!J$16:J$20,MATCH($C19,[1]Parametros!$A$16:$A$20,0)))*$K19,N('[1]ATS USA'!S19))&lt;=0,"",MIN(N(INDEX([1]Parametros!J$16:J$20,MATCH($C19,[1]Parametros!$A$16:$A$20,0)))*$K19,N('[1]ATS USA'!S19)))</f>
        <v/>
      </c>
      <c r="U19" s="9" t="str">
        <f>IF(MIN(N(INDEX([1]Parametros!K$16:K$20,MATCH($C19,[1]Parametros!$A$16:$A$20,0)))*$K19,N('[1]ATS USA'!T19))&lt;=0,"",MIN(N(INDEX([1]Parametros!K$16:K$20,MATCH($C19,[1]Parametros!$A$16:$A$20,0)))*$K19,N('[1]ATS USA'!T19)))</f>
        <v/>
      </c>
      <c r="V19" s="9" t="str">
        <f>IF(MIN(N(INDEX([1]Parametros!L$16:L$20,MATCH($C19,[1]Parametros!$A$16:$A$20,0)))*$K19,N('[1]ATS USA'!U19))&lt;=0,"",MIN(N(INDEX([1]Parametros!L$16:L$20,MATCH($C19,[1]Parametros!$A$16:$A$20,0)))*$K19,N('[1]ATS USA'!U19)))</f>
        <v/>
      </c>
      <c r="W19" s="10">
        <f>IF(MIN(N(INDEX([1]Parametros!M$16:M$20,MATCH($C19,[1]Parametros!$A$16:$A$20,0)))*$K19,N('[1]ATS USA'!V19))&lt;=0,"",MIN(N(INDEX([1]Parametros!M$16:M$20,MATCH($C19,[1]Parametros!$A$16:$A$20,0)))*$K19,N('[1]ATS USA'!V19)))</f>
        <v>2</v>
      </c>
      <c r="X19" s="10">
        <f>IF(MIN(N(INDEX([1]Parametros!N$16:N$20,MATCH($C19,[1]Parametros!$A$16:$A$20,0)))*$K19,N('[1]ATS USA'!W19))&lt;=0,"",MIN(N(INDEX([1]Parametros!N$16:N$20,MATCH($C19,[1]Parametros!$A$16:$A$20,0)))*$K19,N('[1]ATS USA'!W19)))</f>
        <v>2</v>
      </c>
      <c r="Y19" s="10">
        <f>IF(MIN(N(INDEX([1]Parametros!O$16:O$20,MATCH($C19,[1]Parametros!$A$16:$A$20,0)))*$K19,N('[1]ATS USA'!X19))&lt;=0,"",MIN(N(INDEX([1]Parametros!O$16:O$20,MATCH($C19,[1]Parametros!$A$16:$A$20,0)))*$K19,N('[1]ATS USA'!X19)))</f>
        <v>2</v>
      </c>
      <c r="Z19" s="10">
        <f>IF(MIN(N(INDEX([1]Parametros!P$16:P$20,MATCH($C19,[1]Parametros!$A$16:$A$20,0)))*$K19,N('[1]ATS USA'!Y19))&lt;=0,"",MIN(N(INDEX([1]Parametros!P$16:P$20,MATCH($C19,[1]Parametros!$A$16:$A$20,0)))*$K19,N('[1]ATS USA'!Y19)))</f>
        <v>1</v>
      </c>
      <c r="AA19" s="9">
        <f>IF(MIN(N(INDEX([1]Parametros!Q$16:Q$20,MATCH($C19,[1]Parametros!$A$16:$A$20,0)))*$K19,N('[1]ATS USA'!Z19))&lt;=0,"",MIN(N(INDEX([1]Parametros!Q$16:Q$20,MATCH($C19,[1]Parametros!$A$16:$A$20,0)))*$K19,N('[1]ATS USA'!Z19)))</f>
        <v>1</v>
      </c>
      <c r="AB19" s="10">
        <f>IF(MIN(N(INDEX([1]Parametros!R$16:R$20,MATCH($C19,[1]Parametros!$A$16:$A$20,0)))*$K19,N('[1]ATS USA'!AA19))&lt;=0,"",MIN(N(INDEX([1]Parametros!R$16:R$20,MATCH($C19,[1]Parametros!$A$16:$A$20,0)))*$K19,N('[1]ATS USA'!AA19)))</f>
        <v>1</v>
      </c>
      <c r="AC19" s="9" t="str">
        <f>IF(MIN(N(INDEX([1]Parametros!S$16:S$20,MATCH($C19,[1]Parametros!$A$16:$A$20,0)))*$K19,N('[1]ATS USA'!AB19))&lt;=0,"",MIN(N(INDEX([1]Parametros!S$16:S$20,MATCH($C19,[1]Parametros!$A$16:$A$20,0)))*$K19,N('[1]ATS USA'!AB19)))</f>
        <v/>
      </c>
      <c r="AD19" s="10" t="str">
        <f>IF(MIN(N(INDEX([1]Parametros!T$16:T$20,MATCH($C19,[1]Parametros!$A$16:$A$20,0)))*$K19,N('[1]ATS USA'!AC19))&lt;=0,"",MIN(N(INDEX([1]Parametros!T$16:T$20,MATCH($C19,[1]Parametros!$A$16:$A$20,0)))*$K19,N('[1]ATS USA'!AC19)))</f>
        <v/>
      </c>
      <c r="AE19" s="9" t="str">
        <f>IF(MIN(N(INDEX([1]Parametros!U$16:U$20,MATCH($C19,[1]Parametros!$A$16:$A$20,0)))*$K19,N('[1]ATS USA'!AD19))&lt;=0,"",MIN(N(INDEX([1]Parametros!U$16:U$20,MATCH($C19,[1]Parametros!$A$16:$A$20,0)))*$K19,N('[1]ATS USA'!AD19)))</f>
        <v/>
      </c>
      <c r="AF19" s="11">
        <f t="shared" si="0"/>
        <v>9</v>
      </c>
      <c r="AG19" s="12" t="str">
        <f t="shared" si="1"/>
        <v>AJUSTAR</v>
      </c>
      <c r="AH19" s="6">
        <f t="shared" si="2"/>
        <v>459</v>
      </c>
      <c r="AI19" s="9">
        <f t="shared" si="3"/>
        <v>3</v>
      </c>
      <c r="AJ19" s="13">
        <f>IF(LEFT($A19,8)="Tránsito",IFERROR(_xlfn.XLOOKUP(--$E19,'[1]Reserva Territorios'!$C:$C,'[1]Reserva Territorios'!$J:$J),0),0)</f>
        <v>0</v>
      </c>
      <c r="AK19" s="13">
        <f t="shared" si="4"/>
        <v>9</v>
      </c>
    </row>
    <row r="20" spans="1:37" ht="48.95" customHeight="1" x14ac:dyDescent="0.25">
      <c r="A20" s="3" t="s">
        <v>37</v>
      </c>
      <c r="B20" s="4" t="s">
        <v>76</v>
      </c>
      <c r="C20" s="4" t="s">
        <v>39</v>
      </c>
      <c r="D20" s="4" t="s">
        <v>106</v>
      </c>
      <c r="E20" s="4" t="s">
        <v>107</v>
      </c>
      <c r="F20" s="4" t="s">
        <v>108</v>
      </c>
      <c r="G20" s="4" t="s">
        <v>98</v>
      </c>
      <c r="H20" s="5">
        <v>50.5</v>
      </c>
      <c r="I20" s="6">
        <v>180</v>
      </c>
      <c r="J20" s="7">
        <f>ROUND(I20*[1]Parametros!$B$10,-3)</f>
        <v>642000</v>
      </c>
      <c r="K20" s="8">
        <v>2</v>
      </c>
      <c r="L20" s="9" t="str">
        <f>IF(MIN(N(INDEX([1]Parametros!B$16:B$20,MATCH($C20,[1]Parametros!$A$16:$A$20,0)))*$K20,N('[1]ATS USA'!K20))&lt;=0,"",MIN(N(INDEX([1]Parametros!B$16:B$20,MATCH($C20,[1]Parametros!$A$16:$A$20,0)))*$K20,N('[1]ATS USA'!K20)))</f>
        <v/>
      </c>
      <c r="M20" s="9" t="str">
        <f>IF(MIN(N(INDEX([1]Parametros!C$16:C$20,MATCH($C20,[1]Parametros!$A$16:$A$20,0)))*$K20,N('[1]ATS USA'!L20))&lt;=0,"",MIN(N(INDEX([1]Parametros!C$16:C$20,MATCH($C20,[1]Parametros!$A$16:$A$20,0)))*$K20,N('[1]ATS USA'!L20)))</f>
        <v/>
      </c>
      <c r="N20" s="9" t="str">
        <f>IF(MIN(N(INDEX([1]Parametros!D$16:D$20,MATCH($C20,[1]Parametros!$A$16:$A$20,0)))*$K20,N('[1]ATS USA'!M20))&lt;=0,"",MIN(N(INDEX([1]Parametros!D$16:D$20,MATCH($C20,[1]Parametros!$A$16:$A$20,0)))*$K20,N('[1]ATS USA'!M20)))</f>
        <v/>
      </c>
      <c r="O20" s="9" t="str">
        <f>IF(MIN(N(INDEX([1]Parametros!E$16:E$20,MATCH($C20,[1]Parametros!$A$16:$A$20,0)))*$K20,N('[1]ATS USA'!N20))&lt;=0,"",MIN(N(INDEX([1]Parametros!E$16:E$20,MATCH($C20,[1]Parametros!$A$16:$A$20,0)))*$K20,N('[1]ATS USA'!N20)))</f>
        <v/>
      </c>
      <c r="P20" s="9" t="str">
        <f>IF(MIN(N(INDEX([1]Parametros!F$16:F$20,MATCH($C20,[1]Parametros!$A$16:$A$20,0)))*$K20,N('[1]ATS USA'!O20))&lt;=0,"",MIN(N(INDEX([1]Parametros!F$16:F$20,MATCH($C20,[1]Parametros!$A$16:$A$20,0)))*$K20,N('[1]ATS USA'!O20)))</f>
        <v/>
      </c>
      <c r="Q20" s="9" t="str">
        <f>IF(MIN(N(INDEX([1]Parametros!G$16:G$20,MATCH($C20,[1]Parametros!$A$16:$A$20,0)))*$K20,N('[1]ATS USA'!P20))&lt;=0,"",MIN(N(INDEX([1]Parametros!G$16:G$20,MATCH($C20,[1]Parametros!$A$16:$A$20,0)))*$K20,N('[1]ATS USA'!P20)))</f>
        <v/>
      </c>
      <c r="R20" s="9" t="str">
        <f>IF(MIN(N(INDEX([1]Parametros!H$16:H$20,MATCH($C20,[1]Parametros!$A$16:$A$20,0)))*$K20,N('[1]ATS USA'!Q20))&lt;=0,"",MIN(N(INDEX([1]Parametros!H$16:H$20,MATCH($C20,[1]Parametros!$A$16:$A$20,0)))*$K20,N('[1]ATS USA'!Q20)))</f>
        <v/>
      </c>
      <c r="S20" s="9" t="str">
        <f>IF(MIN(N(INDEX([1]Parametros!I$16:I$20,MATCH($C20,[1]Parametros!$A$16:$A$20,0)))*$K20,N('[1]ATS USA'!R20))&lt;=0,"",MIN(N(INDEX([1]Parametros!I$16:I$20,MATCH($C20,[1]Parametros!$A$16:$A$20,0)))*$K20,N('[1]ATS USA'!R20)))</f>
        <v/>
      </c>
      <c r="T20" s="10">
        <f>IF(MIN(N(INDEX([1]Parametros!J$16:J$20,MATCH($C20,[1]Parametros!$A$16:$A$20,0)))*$K20,N('[1]ATS USA'!S20))&lt;=0,"",MIN(N(INDEX([1]Parametros!J$16:J$20,MATCH($C20,[1]Parametros!$A$16:$A$20,0)))*$K20,N('[1]ATS USA'!S20)))</f>
        <v>2</v>
      </c>
      <c r="U20" s="9">
        <f>IF(MIN(N(INDEX([1]Parametros!K$16:K$20,MATCH($C20,[1]Parametros!$A$16:$A$20,0)))*$K20,N('[1]ATS USA'!T20))&lt;=0,"",MIN(N(INDEX([1]Parametros!K$16:K$20,MATCH($C20,[1]Parametros!$A$16:$A$20,0)))*$K20,N('[1]ATS USA'!T20)))</f>
        <v>2</v>
      </c>
      <c r="V20" s="10">
        <f>IF(MIN(N(INDEX([1]Parametros!L$16:L$20,MATCH($C20,[1]Parametros!$A$16:$A$20,0)))*$K20,N('[1]ATS USA'!U20))&lt;=0,"",MIN(N(INDEX([1]Parametros!L$16:L$20,MATCH($C20,[1]Parametros!$A$16:$A$20,0)))*$K20,N('[1]ATS USA'!U20)))</f>
        <v>2</v>
      </c>
      <c r="W20" s="10">
        <f>IF(MIN(N(INDEX([1]Parametros!M$16:M$20,MATCH($C20,[1]Parametros!$A$16:$A$20,0)))*$K20,N('[1]ATS USA'!V20))&lt;=0,"",MIN(N(INDEX([1]Parametros!M$16:M$20,MATCH($C20,[1]Parametros!$A$16:$A$20,0)))*$K20,N('[1]ATS USA'!V20)))</f>
        <v>4</v>
      </c>
      <c r="X20" s="10">
        <f>IF(MIN(N(INDEX([1]Parametros!N$16:N$20,MATCH($C20,[1]Parametros!$A$16:$A$20,0)))*$K20,N('[1]ATS USA'!W20))&lt;=0,"",MIN(N(INDEX([1]Parametros!N$16:N$20,MATCH($C20,[1]Parametros!$A$16:$A$20,0)))*$K20,N('[1]ATS USA'!W20)))</f>
        <v>4</v>
      </c>
      <c r="Y20" s="10">
        <f>IF(MIN(N(INDEX([1]Parametros!O$16:O$20,MATCH($C20,[1]Parametros!$A$16:$A$20,0)))*$K20,N('[1]ATS USA'!X20))&lt;=0,"",MIN(N(INDEX([1]Parametros!O$16:O$20,MATCH($C20,[1]Parametros!$A$16:$A$20,0)))*$K20,N('[1]ATS USA'!X20)))</f>
        <v>4</v>
      </c>
      <c r="Z20" s="10">
        <f>IF(MIN(N(INDEX([1]Parametros!P$16:P$20,MATCH($C20,[1]Parametros!$A$16:$A$20,0)))*$K20,N('[1]ATS USA'!Y20))&lt;=0,"",MIN(N(INDEX([1]Parametros!P$16:P$20,MATCH($C20,[1]Parametros!$A$16:$A$20,0)))*$K20,N('[1]ATS USA'!Y20)))</f>
        <v>2</v>
      </c>
      <c r="AA20" s="9">
        <f>IF(MIN(N(INDEX([1]Parametros!Q$16:Q$20,MATCH($C20,[1]Parametros!$A$16:$A$20,0)))*$K20,N('[1]ATS USA'!Z20))&lt;=0,"",MIN(N(INDEX([1]Parametros!Q$16:Q$20,MATCH($C20,[1]Parametros!$A$16:$A$20,0)))*$K20,N('[1]ATS USA'!Z20)))</f>
        <v>2</v>
      </c>
      <c r="AB20" s="10">
        <f>IF(MIN(N(INDEX([1]Parametros!R$16:R$20,MATCH($C20,[1]Parametros!$A$16:$A$20,0)))*$K20,N('[1]ATS USA'!AA20))&lt;=0,"",MIN(N(INDEX([1]Parametros!R$16:R$20,MATCH($C20,[1]Parametros!$A$16:$A$20,0)))*$K20,N('[1]ATS USA'!AA20)))</f>
        <v>2</v>
      </c>
      <c r="AC20" s="9" t="str">
        <f>IF(MIN(N(INDEX([1]Parametros!S$16:S$20,MATCH($C20,[1]Parametros!$A$16:$A$20,0)))*$K20,N('[1]ATS USA'!AB20))&lt;=0,"",MIN(N(INDEX([1]Parametros!S$16:S$20,MATCH($C20,[1]Parametros!$A$16:$A$20,0)))*$K20,N('[1]ATS USA'!AB20)))</f>
        <v/>
      </c>
      <c r="AD20" s="10" t="str">
        <f>IF(MIN(N(INDEX([1]Parametros!T$16:T$20,MATCH($C20,[1]Parametros!$A$16:$A$20,0)))*$K20,N('[1]ATS USA'!AC20))&lt;=0,"",MIN(N(INDEX([1]Parametros!T$16:T$20,MATCH($C20,[1]Parametros!$A$16:$A$20,0)))*$K20,N('[1]ATS USA'!AC20)))</f>
        <v/>
      </c>
      <c r="AE20" s="9" t="str">
        <f>IF(MIN(N(INDEX([1]Parametros!U$16:U$20,MATCH($C20,[1]Parametros!$A$16:$A$20,0)))*$K20,N('[1]ATS USA'!AD20))&lt;=0,"",MIN(N(INDEX([1]Parametros!U$16:U$20,MATCH($C20,[1]Parametros!$A$16:$A$20,0)))*$K20,N('[1]ATS USA'!AD20)))</f>
        <v/>
      </c>
      <c r="AF20" s="11">
        <f t="shared" si="0"/>
        <v>24</v>
      </c>
      <c r="AG20" s="12" t="str">
        <f t="shared" si="1"/>
        <v>OK</v>
      </c>
      <c r="AH20" s="6">
        <f t="shared" si="2"/>
        <v>1212</v>
      </c>
      <c r="AI20" s="9">
        <f t="shared" si="3"/>
        <v>0</v>
      </c>
      <c r="AJ20" s="13">
        <f>IF(LEFT($A20,8)="Tránsito",IFERROR(_xlfn.XLOOKUP(--$E20,'[1]Reserva Territorios'!$C:$C,'[1]Reserva Territorios'!$J:$J),0),0)</f>
        <v>0</v>
      </c>
      <c r="AK20" s="13">
        <f t="shared" si="4"/>
        <v>24</v>
      </c>
    </row>
    <row r="21" spans="1:37" ht="48.95" customHeight="1" x14ac:dyDescent="0.25">
      <c r="A21" s="3" t="s">
        <v>37</v>
      </c>
      <c r="B21" s="4" t="s">
        <v>76</v>
      </c>
      <c r="C21" s="4" t="s">
        <v>39</v>
      </c>
      <c r="D21" s="4" t="s">
        <v>106</v>
      </c>
      <c r="E21" s="4" t="s">
        <v>109</v>
      </c>
      <c r="F21" s="4" t="s">
        <v>110</v>
      </c>
      <c r="G21" s="4" t="s">
        <v>111</v>
      </c>
      <c r="H21" s="5">
        <v>50.5</v>
      </c>
      <c r="I21" s="6">
        <v>180</v>
      </c>
      <c r="J21" s="7">
        <f>ROUND(I21*[1]Parametros!$B$10,-3)</f>
        <v>642000</v>
      </c>
      <c r="K21" s="8">
        <v>2</v>
      </c>
      <c r="L21" s="9" t="str">
        <f>IF(MIN(N(INDEX([1]Parametros!B$16:B$20,MATCH($C21,[1]Parametros!$A$16:$A$20,0)))*$K21,N('[1]ATS USA'!K21))&lt;=0,"",MIN(N(INDEX([1]Parametros!B$16:B$20,MATCH($C21,[1]Parametros!$A$16:$A$20,0)))*$K21,N('[1]ATS USA'!K21)))</f>
        <v/>
      </c>
      <c r="M21" s="9" t="str">
        <f>IF(MIN(N(INDEX([1]Parametros!C$16:C$20,MATCH($C21,[1]Parametros!$A$16:$A$20,0)))*$K21,N('[1]ATS USA'!L21))&lt;=0,"",MIN(N(INDEX([1]Parametros!C$16:C$20,MATCH($C21,[1]Parametros!$A$16:$A$20,0)))*$K21,N('[1]ATS USA'!L21)))</f>
        <v/>
      </c>
      <c r="N21" s="9" t="str">
        <f>IF(MIN(N(INDEX([1]Parametros!D$16:D$20,MATCH($C21,[1]Parametros!$A$16:$A$20,0)))*$K21,N('[1]ATS USA'!M21))&lt;=0,"",MIN(N(INDEX([1]Parametros!D$16:D$20,MATCH($C21,[1]Parametros!$A$16:$A$20,0)))*$K21,N('[1]ATS USA'!M21)))</f>
        <v/>
      </c>
      <c r="O21" s="9" t="str">
        <f>IF(MIN(N(INDEX([1]Parametros!E$16:E$20,MATCH($C21,[1]Parametros!$A$16:$A$20,0)))*$K21,N('[1]ATS USA'!N21))&lt;=0,"",MIN(N(INDEX([1]Parametros!E$16:E$20,MATCH($C21,[1]Parametros!$A$16:$A$20,0)))*$K21,N('[1]ATS USA'!N21)))</f>
        <v/>
      </c>
      <c r="P21" s="9" t="str">
        <f>IF(MIN(N(INDEX([1]Parametros!F$16:F$20,MATCH($C21,[1]Parametros!$A$16:$A$20,0)))*$K21,N('[1]ATS USA'!O21))&lt;=0,"",MIN(N(INDEX([1]Parametros!F$16:F$20,MATCH($C21,[1]Parametros!$A$16:$A$20,0)))*$K21,N('[1]ATS USA'!O21)))</f>
        <v/>
      </c>
      <c r="Q21" s="9" t="str">
        <f>IF(MIN(N(INDEX([1]Parametros!G$16:G$20,MATCH($C21,[1]Parametros!$A$16:$A$20,0)))*$K21,N('[1]ATS USA'!P21))&lt;=0,"",MIN(N(INDEX([1]Parametros!G$16:G$20,MATCH($C21,[1]Parametros!$A$16:$A$20,0)))*$K21,N('[1]ATS USA'!P21)))</f>
        <v/>
      </c>
      <c r="R21" s="9" t="str">
        <f>IF(MIN(N(INDEX([1]Parametros!H$16:H$20,MATCH($C21,[1]Parametros!$A$16:$A$20,0)))*$K21,N('[1]ATS USA'!Q21))&lt;=0,"",MIN(N(INDEX([1]Parametros!H$16:H$20,MATCH($C21,[1]Parametros!$A$16:$A$20,0)))*$K21,N('[1]ATS USA'!Q21)))</f>
        <v/>
      </c>
      <c r="S21" s="9" t="str">
        <f>IF(MIN(N(INDEX([1]Parametros!I$16:I$20,MATCH($C21,[1]Parametros!$A$16:$A$20,0)))*$K21,N('[1]ATS USA'!R21))&lt;=0,"",MIN(N(INDEX([1]Parametros!I$16:I$20,MATCH($C21,[1]Parametros!$A$16:$A$20,0)))*$K21,N('[1]ATS USA'!R21)))</f>
        <v/>
      </c>
      <c r="T21" s="10">
        <f>IF(MIN(N(INDEX([1]Parametros!J$16:J$20,MATCH($C21,[1]Parametros!$A$16:$A$20,0)))*$K21,N('[1]ATS USA'!S21))&lt;=0,"",MIN(N(INDEX([1]Parametros!J$16:J$20,MATCH($C21,[1]Parametros!$A$16:$A$20,0)))*$K21,N('[1]ATS USA'!S21)))</f>
        <v>2</v>
      </c>
      <c r="U21" s="9" t="str">
        <f>IF(MIN(N(INDEX([1]Parametros!K$16:K$20,MATCH($C21,[1]Parametros!$A$16:$A$20,0)))*$K21,N('[1]ATS USA'!T21))&lt;=0,"",MIN(N(INDEX([1]Parametros!K$16:K$20,MATCH($C21,[1]Parametros!$A$16:$A$20,0)))*$K21,N('[1]ATS USA'!T21)))</f>
        <v/>
      </c>
      <c r="V21" s="9" t="str">
        <f>IF(MIN(N(INDEX([1]Parametros!L$16:L$20,MATCH($C21,[1]Parametros!$A$16:$A$20,0)))*$K21,N('[1]ATS USA'!U21))&lt;=0,"",MIN(N(INDEX([1]Parametros!L$16:L$20,MATCH($C21,[1]Parametros!$A$16:$A$20,0)))*$K21,N('[1]ATS USA'!U21)))</f>
        <v/>
      </c>
      <c r="W21" s="10">
        <f>IF(MIN(N(INDEX([1]Parametros!M$16:M$20,MATCH($C21,[1]Parametros!$A$16:$A$20,0)))*$K21,N('[1]ATS USA'!V21))&lt;=0,"",MIN(N(INDEX([1]Parametros!M$16:M$20,MATCH($C21,[1]Parametros!$A$16:$A$20,0)))*$K21,N('[1]ATS USA'!V21)))</f>
        <v>4</v>
      </c>
      <c r="X21" s="10">
        <f>IF(MIN(N(INDEX([1]Parametros!N$16:N$20,MATCH($C21,[1]Parametros!$A$16:$A$20,0)))*$K21,N('[1]ATS USA'!W21))&lt;=0,"",MIN(N(INDEX([1]Parametros!N$16:N$20,MATCH($C21,[1]Parametros!$A$16:$A$20,0)))*$K21,N('[1]ATS USA'!W21)))</f>
        <v>4</v>
      </c>
      <c r="Y21" s="10">
        <f>IF(MIN(N(INDEX([1]Parametros!O$16:O$20,MATCH($C21,[1]Parametros!$A$16:$A$20,0)))*$K21,N('[1]ATS USA'!X21))&lt;=0,"",MIN(N(INDEX([1]Parametros!O$16:O$20,MATCH($C21,[1]Parametros!$A$16:$A$20,0)))*$K21,N('[1]ATS USA'!X21)))</f>
        <v>4</v>
      </c>
      <c r="Z21" s="10">
        <f>IF(MIN(N(INDEX([1]Parametros!P$16:P$20,MATCH($C21,[1]Parametros!$A$16:$A$20,0)))*$K21,N('[1]ATS USA'!Y21))&lt;=0,"",MIN(N(INDEX([1]Parametros!P$16:P$20,MATCH($C21,[1]Parametros!$A$16:$A$20,0)))*$K21,N('[1]ATS USA'!Y21)))</f>
        <v>2</v>
      </c>
      <c r="AA21" s="9">
        <f>IF(MIN(N(INDEX([1]Parametros!Q$16:Q$20,MATCH($C21,[1]Parametros!$A$16:$A$20,0)))*$K21,N('[1]ATS USA'!Z21))&lt;=0,"",MIN(N(INDEX([1]Parametros!Q$16:Q$20,MATCH($C21,[1]Parametros!$A$16:$A$20,0)))*$K21,N('[1]ATS USA'!Z21)))</f>
        <v>2</v>
      </c>
      <c r="AB21" s="10">
        <f>IF(MIN(N(INDEX([1]Parametros!R$16:R$20,MATCH($C21,[1]Parametros!$A$16:$A$20,0)))*$K21,N('[1]ATS USA'!AA21))&lt;=0,"",MIN(N(INDEX([1]Parametros!R$16:R$20,MATCH($C21,[1]Parametros!$A$16:$A$20,0)))*$K21,N('[1]ATS USA'!AA21)))</f>
        <v>2</v>
      </c>
      <c r="AC21" s="9" t="str">
        <f>IF(MIN(N(INDEX([1]Parametros!S$16:S$20,MATCH($C21,[1]Parametros!$A$16:$A$20,0)))*$K21,N('[1]ATS USA'!AB21))&lt;=0,"",MIN(N(INDEX([1]Parametros!S$16:S$20,MATCH($C21,[1]Parametros!$A$16:$A$20,0)))*$K21,N('[1]ATS USA'!AB21)))</f>
        <v/>
      </c>
      <c r="AD21" s="10" t="str">
        <f>IF(MIN(N(INDEX([1]Parametros!T$16:T$20,MATCH($C21,[1]Parametros!$A$16:$A$20,0)))*$K21,N('[1]ATS USA'!AC21))&lt;=0,"",MIN(N(INDEX([1]Parametros!T$16:T$20,MATCH($C21,[1]Parametros!$A$16:$A$20,0)))*$K21,N('[1]ATS USA'!AC21)))</f>
        <v/>
      </c>
      <c r="AE21" s="9" t="str">
        <f>IF(MIN(N(INDEX([1]Parametros!U$16:U$20,MATCH($C21,[1]Parametros!$A$16:$A$20,0)))*$K21,N('[1]ATS USA'!AD21))&lt;=0,"",MIN(N(INDEX([1]Parametros!U$16:U$20,MATCH($C21,[1]Parametros!$A$16:$A$20,0)))*$K21,N('[1]ATS USA'!AD21)))</f>
        <v/>
      </c>
      <c r="AF21" s="11">
        <f t="shared" si="0"/>
        <v>20</v>
      </c>
      <c r="AG21" s="12" t="str">
        <f t="shared" si="1"/>
        <v>AJUSTAR</v>
      </c>
      <c r="AH21" s="6">
        <f t="shared" si="2"/>
        <v>1010</v>
      </c>
      <c r="AI21" s="9">
        <f t="shared" si="3"/>
        <v>4</v>
      </c>
      <c r="AJ21" s="13">
        <f>IF(LEFT($A21,8)="Tránsito",IFERROR(_xlfn.XLOOKUP(--$E21,'[1]Reserva Territorios'!$C:$C,'[1]Reserva Territorios'!$J:$J),0),0)</f>
        <v>0</v>
      </c>
      <c r="AK21" s="13">
        <f t="shared" si="4"/>
        <v>20</v>
      </c>
    </row>
    <row r="22" spans="1:37" ht="48.95" customHeight="1" x14ac:dyDescent="0.25">
      <c r="A22" s="3" t="s">
        <v>37</v>
      </c>
      <c r="B22" s="4" t="s">
        <v>112</v>
      </c>
      <c r="C22" s="4" t="s">
        <v>39</v>
      </c>
      <c r="D22" s="4" t="s">
        <v>112</v>
      </c>
      <c r="E22" s="4" t="s">
        <v>113</v>
      </c>
      <c r="F22" s="4" t="s">
        <v>114</v>
      </c>
      <c r="G22" s="4" t="s">
        <v>43</v>
      </c>
      <c r="H22" s="5">
        <v>35</v>
      </c>
      <c r="I22" s="6">
        <v>150</v>
      </c>
      <c r="J22" s="7">
        <f>ROUND(I22*[1]Parametros!$B$10,-3)</f>
        <v>535000</v>
      </c>
      <c r="K22" s="8">
        <v>5</v>
      </c>
      <c r="L22" s="9" t="str">
        <f>IF(MIN(N(INDEX([1]Parametros!B$16:B$20,MATCH($C22,[1]Parametros!$A$16:$A$20,0)))*$K22,N('[1]ATS USA'!K22))&lt;=0,"",MIN(N(INDEX([1]Parametros!B$16:B$20,MATCH($C22,[1]Parametros!$A$16:$A$20,0)))*$K22,N('[1]ATS USA'!K22)))</f>
        <v/>
      </c>
      <c r="M22" s="9" t="str">
        <f>IF(MIN(N(INDEX([1]Parametros!C$16:C$20,MATCH($C22,[1]Parametros!$A$16:$A$20,0)))*$K22,N('[1]ATS USA'!L22))&lt;=0,"",MIN(N(INDEX([1]Parametros!C$16:C$20,MATCH($C22,[1]Parametros!$A$16:$A$20,0)))*$K22,N('[1]ATS USA'!L22)))</f>
        <v/>
      </c>
      <c r="N22" s="9" t="str">
        <f>IF(MIN(N(INDEX([1]Parametros!D$16:D$20,MATCH($C22,[1]Parametros!$A$16:$A$20,0)))*$K22,N('[1]ATS USA'!M22))&lt;=0,"",MIN(N(INDEX([1]Parametros!D$16:D$20,MATCH($C22,[1]Parametros!$A$16:$A$20,0)))*$K22,N('[1]ATS USA'!M22)))</f>
        <v/>
      </c>
      <c r="O22" s="9" t="str">
        <f>IF(MIN(N(INDEX([1]Parametros!E$16:E$20,MATCH($C22,[1]Parametros!$A$16:$A$20,0)))*$K22,N('[1]ATS USA'!N22))&lt;=0,"",MIN(N(INDEX([1]Parametros!E$16:E$20,MATCH($C22,[1]Parametros!$A$16:$A$20,0)))*$K22,N('[1]ATS USA'!N22)))</f>
        <v/>
      </c>
      <c r="P22" s="9" t="str">
        <f>IF(MIN(N(INDEX([1]Parametros!F$16:F$20,MATCH($C22,[1]Parametros!$A$16:$A$20,0)))*$K22,N('[1]ATS USA'!O22))&lt;=0,"",MIN(N(INDEX([1]Parametros!F$16:F$20,MATCH($C22,[1]Parametros!$A$16:$A$20,0)))*$K22,N('[1]ATS USA'!O22)))</f>
        <v/>
      </c>
      <c r="Q22" s="9" t="str">
        <f>IF(MIN(N(INDEX([1]Parametros!G$16:G$20,MATCH($C22,[1]Parametros!$A$16:$A$20,0)))*$K22,N('[1]ATS USA'!P22))&lt;=0,"",MIN(N(INDEX([1]Parametros!G$16:G$20,MATCH($C22,[1]Parametros!$A$16:$A$20,0)))*$K22,N('[1]ATS USA'!P22)))</f>
        <v/>
      </c>
      <c r="R22" s="9" t="str">
        <f>IF(MIN(N(INDEX([1]Parametros!H$16:H$20,MATCH($C22,[1]Parametros!$A$16:$A$20,0)))*$K22,N('[1]ATS USA'!Q22))&lt;=0,"",MIN(N(INDEX([1]Parametros!H$16:H$20,MATCH($C22,[1]Parametros!$A$16:$A$20,0)))*$K22,N('[1]ATS USA'!Q22)))</f>
        <v/>
      </c>
      <c r="S22" s="9" t="str">
        <f>IF(MIN(N(INDEX([1]Parametros!I$16:I$20,MATCH($C22,[1]Parametros!$A$16:$A$20,0)))*$K22,N('[1]ATS USA'!R22))&lt;=0,"",MIN(N(INDEX([1]Parametros!I$16:I$20,MATCH($C22,[1]Parametros!$A$16:$A$20,0)))*$K22,N('[1]ATS USA'!R22)))</f>
        <v/>
      </c>
      <c r="T22" s="9" t="str">
        <f>IF(MIN(N(INDEX([1]Parametros!J$16:J$20,MATCH($C22,[1]Parametros!$A$16:$A$20,0)))*$K22,N('[1]ATS USA'!S22))&lt;=0,"",MIN(N(INDEX([1]Parametros!J$16:J$20,MATCH($C22,[1]Parametros!$A$16:$A$20,0)))*$K22,N('[1]ATS USA'!S22)))</f>
        <v/>
      </c>
      <c r="U22" s="9" t="str">
        <f>IF(MIN(N(INDEX([1]Parametros!K$16:K$20,MATCH($C22,[1]Parametros!$A$16:$A$20,0)))*$K22,N('[1]ATS USA'!T22))&lt;=0,"",MIN(N(INDEX([1]Parametros!K$16:K$20,MATCH($C22,[1]Parametros!$A$16:$A$20,0)))*$K22,N('[1]ATS USA'!T22)))</f>
        <v/>
      </c>
      <c r="V22" s="10">
        <f>IF(MIN(N(INDEX([1]Parametros!L$16:L$20,MATCH($C22,[1]Parametros!$A$16:$A$20,0)))*$K22,N('[1]ATS USA'!U22))&lt;=0,"",MIN(N(INDEX([1]Parametros!L$16:L$20,MATCH($C22,[1]Parametros!$A$16:$A$20,0)))*$K22,N('[1]ATS USA'!U22)))</f>
        <v>5</v>
      </c>
      <c r="W22" s="9" t="str">
        <f>IF(MIN(N(INDEX([1]Parametros!M$16:M$20,MATCH($C22,[1]Parametros!$A$16:$A$20,0)))*$K22,N('[1]ATS USA'!V22))&lt;=0,"",MIN(N(INDEX([1]Parametros!M$16:M$20,MATCH($C22,[1]Parametros!$A$16:$A$20,0)))*$K22,N('[1]ATS USA'!V22)))</f>
        <v/>
      </c>
      <c r="X22" s="10">
        <f>IF(MIN(N(INDEX([1]Parametros!N$16:N$20,MATCH($C22,[1]Parametros!$A$16:$A$20,0)))*$K22,N('[1]ATS USA'!W22))&lt;=0,"",MIN(N(INDEX([1]Parametros!N$16:N$20,MATCH($C22,[1]Parametros!$A$16:$A$20,0)))*$K22,N('[1]ATS USA'!W22)))</f>
        <v>10</v>
      </c>
      <c r="Y22" s="10">
        <f>IF(MIN(N(INDEX([1]Parametros!O$16:O$20,MATCH($C22,[1]Parametros!$A$16:$A$20,0)))*$K22,N('[1]ATS USA'!X22))&lt;=0,"",MIN(N(INDEX([1]Parametros!O$16:O$20,MATCH($C22,[1]Parametros!$A$16:$A$20,0)))*$K22,N('[1]ATS USA'!X22)))</f>
        <v>10</v>
      </c>
      <c r="Z22" s="10">
        <f>IF(MIN(N(INDEX([1]Parametros!P$16:P$20,MATCH($C22,[1]Parametros!$A$16:$A$20,0)))*$K22,N('[1]ATS USA'!Y22))&lt;=0,"",MIN(N(INDEX([1]Parametros!P$16:P$20,MATCH($C22,[1]Parametros!$A$16:$A$20,0)))*$K22,N('[1]ATS USA'!Y22)))</f>
        <v>5</v>
      </c>
      <c r="AA22" s="10">
        <f>IF(MIN(N(INDEX([1]Parametros!Q$16:Q$20,MATCH($C22,[1]Parametros!$A$16:$A$20,0)))*$K22,N('[1]ATS USA'!Z22))&lt;=0,"",MIN(N(INDEX([1]Parametros!Q$16:Q$20,MATCH($C22,[1]Parametros!$A$16:$A$20,0)))*$K22,N('[1]ATS USA'!Z22)))</f>
        <v>5</v>
      </c>
      <c r="AB22" s="10">
        <f>IF(MIN(N(INDEX([1]Parametros!R$16:R$20,MATCH($C22,[1]Parametros!$A$16:$A$20,0)))*$K22,N('[1]ATS USA'!AA22))&lt;=0,"",MIN(N(INDEX([1]Parametros!R$16:R$20,MATCH($C22,[1]Parametros!$A$16:$A$20,0)))*$K22,N('[1]ATS USA'!AA22)))</f>
        <v>5</v>
      </c>
      <c r="AC22" s="9" t="str">
        <f>IF(MIN(N(INDEX([1]Parametros!S$16:S$20,MATCH($C22,[1]Parametros!$A$16:$A$20,0)))*$K22,N('[1]ATS USA'!AB22))&lt;=0,"",MIN(N(INDEX([1]Parametros!S$16:S$20,MATCH($C22,[1]Parametros!$A$16:$A$20,0)))*$K22,N('[1]ATS USA'!AB22)))</f>
        <v/>
      </c>
      <c r="AD22" s="10" t="str">
        <f>IF(MIN(N(INDEX([1]Parametros!T$16:T$20,MATCH($C22,[1]Parametros!$A$16:$A$20,0)))*$K22,N('[1]ATS USA'!AC22))&lt;=0,"",MIN(N(INDEX([1]Parametros!T$16:T$20,MATCH($C22,[1]Parametros!$A$16:$A$20,0)))*$K22,N('[1]ATS USA'!AC22)))</f>
        <v/>
      </c>
      <c r="AE22" s="9" t="str">
        <f>IF(MIN(N(INDEX([1]Parametros!U$16:U$20,MATCH($C22,[1]Parametros!$A$16:$A$20,0)))*$K22,N('[1]ATS USA'!AD22))&lt;=0,"",MIN(N(INDEX([1]Parametros!U$16:U$20,MATCH($C22,[1]Parametros!$A$16:$A$20,0)))*$K22,N('[1]ATS USA'!AD22)))</f>
        <v/>
      </c>
      <c r="AF22" s="11">
        <f t="shared" si="0"/>
        <v>40</v>
      </c>
      <c r="AG22" s="12" t="str">
        <f t="shared" si="1"/>
        <v>AJUSTAR</v>
      </c>
      <c r="AH22" s="6">
        <f t="shared" si="2"/>
        <v>1400</v>
      </c>
      <c r="AI22" s="9">
        <f t="shared" si="3"/>
        <v>20</v>
      </c>
      <c r="AJ22" s="13">
        <f>IF(LEFT($A22,8)="Tránsito",IFERROR(_xlfn.XLOOKUP(--$E22,'[1]Reserva Territorios'!$C:$C,'[1]Reserva Territorios'!$J:$J),0),0)</f>
        <v>0</v>
      </c>
      <c r="AK22" s="13">
        <f t="shared" si="4"/>
        <v>40</v>
      </c>
    </row>
    <row r="23" spans="1:37" ht="48.95" customHeight="1" x14ac:dyDescent="0.25">
      <c r="A23" s="3" t="s">
        <v>37</v>
      </c>
      <c r="B23" s="4" t="s">
        <v>112</v>
      </c>
      <c r="C23" s="4" t="s">
        <v>39</v>
      </c>
      <c r="D23" s="4" t="s">
        <v>112</v>
      </c>
      <c r="E23" s="4" t="s">
        <v>115</v>
      </c>
      <c r="F23" s="4" t="s">
        <v>116</v>
      </c>
      <c r="G23" s="4" t="s">
        <v>117</v>
      </c>
      <c r="H23" s="5">
        <v>35</v>
      </c>
      <c r="I23" s="6">
        <v>150</v>
      </c>
      <c r="J23" s="7">
        <f>ROUND(I23*[1]Parametros!$B$10,-3)</f>
        <v>535000</v>
      </c>
      <c r="K23" s="8">
        <v>5</v>
      </c>
      <c r="L23" s="9" t="str">
        <f>IF(MIN(N(INDEX([1]Parametros!B$16:B$20,MATCH($C23,[1]Parametros!$A$16:$A$20,0)))*$K23,N('[1]ATS USA'!K23))&lt;=0,"",MIN(N(INDEX([1]Parametros!B$16:B$20,MATCH($C23,[1]Parametros!$A$16:$A$20,0)))*$K23,N('[1]ATS USA'!K23)))</f>
        <v/>
      </c>
      <c r="M23" s="9" t="str">
        <f>IF(MIN(N(INDEX([1]Parametros!C$16:C$20,MATCH($C23,[1]Parametros!$A$16:$A$20,0)))*$K23,N('[1]ATS USA'!L23))&lt;=0,"",MIN(N(INDEX([1]Parametros!C$16:C$20,MATCH($C23,[1]Parametros!$A$16:$A$20,0)))*$K23,N('[1]ATS USA'!L23)))</f>
        <v/>
      </c>
      <c r="N23" s="9" t="str">
        <f>IF(MIN(N(INDEX([1]Parametros!D$16:D$20,MATCH($C23,[1]Parametros!$A$16:$A$20,0)))*$K23,N('[1]ATS USA'!M23))&lt;=0,"",MIN(N(INDEX([1]Parametros!D$16:D$20,MATCH($C23,[1]Parametros!$A$16:$A$20,0)))*$K23,N('[1]ATS USA'!M23)))</f>
        <v/>
      </c>
      <c r="O23" s="9" t="str">
        <f>IF(MIN(N(INDEX([1]Parametros!E$16:E$20,MATCH($C23,[1]Parametros!$A$16:$A$20,0)))*$K23,N('[1]ATS USA'!N23))&lt;=0,"",MIN(N(INDEX([1]Parametros!E$16:E$20,MATCH($C23,[1]Parametros!$A$16:$A$20,0)))*$K23,N('[1]ATS USA'!N23)))</f>
        <v/>
      </c>
      <c r="P23" s="9" t="str">
        <f>IF(MIN(N(INDEX([1]Parametros!F$16:F$20,MATCH($C23,[1]Parametros!$A$16:$A$20,0)))*$K23,N('[1]ATS USA'!O23))&lt;=0,"",MIN(N(INDEX([1]Parametros!F$16:F$20,MATCH($C23,[1]Parametros!$A$16:$A$20,0)))*$K23,N('[1]ATS USA'!O23)))</f>
        <v/>
      </c>
      <c r="Q23" s="9" t="str">
        <f>IF(MIN(N(INDEX([1]Parametros!G$16:G$20,MATCH($C23,[1]Parametros!$A$16:$A$20,0)))*$K23,N('[1]ATS USA'!P23))&lt;=0,"",MIN(N(INDEX([1]Parametros!G$16:G$20,MATCH($C23,[1]Parametros!$A$16:$A$20,0)))*$K23,N('[1]ATS USA'!P23)))</f>
        <v/>
      </c>
      <c r="R23" s="9" t="str">
        <f>IF(MIN(N(INDEX([1]Parametros!H$16:H$20,MATCH($C23,[1]Parametros!$A$16:$A$20,0)))*$K23,N('[1]ATS USA'!Q23))&lt;=0,"",MIN(N(INDEX([1]Parametros!H$16:H$20,MATCH($C23,[1]Parametros!$A$16:$A$20,0)))*$K23,N('[1]ATS USA'!Q23)))</f>
        <v/>
      </c>
      <c r="S23" s="9" t="str">
        <f>IF(MIN(N(INDEX([1]Parametros!I$16:I$20,MATCH($C23,[1]Parametros!$A$16:$A$20,0)))*$K23,N('[1]ATS USA'!R23))&lt;=0,"",MIN(N(INDEX([1]Parametros!I$16:I$20,MATCH($C23,[1]Parametros!$A$16:$A$20,0)))*$K23,N('[1]ATS USA'!R23)))</f>
        <v/>
      </c>
      <c r="T23" s="10">
        <f>IF(MIN(N(INDEX([1]Parametros!J$16:J$20,MATCH($C23,[1]Parametros!$A$16:$A$20,0)))*$K23,N('[1]ATS USA'!S23))&lt;=0,"",MIN(N(INDEX([1]Parametros!J$16:J$20,MATCH($C23,[1]Parametros!$A$16:$A$20,0)))*$K23,N('[1]ATS USA'!S23)))</f>
        <v>5</v>
      </c>
      <c r="U23" s="9" t="str">
        <f>IF(MIN(N(INDEX([1]Parametros!K$16:K$20,MATCH($C23,[1]Parametros!$A$16:$A$20,0)))*$K23,N('[1]ATS USA'!T23))&lt;=0,"",MIN(N(INDEX([1]Parametros!K$16:K$20,MATCH($C23,[1]Parametros!$A$16:$A$20,0)))*$K23,N('[1]ATS USA'!T23)))</f>
        <v/>
      </c>
      <c r="V23" s="10">
        <f>IF(MIN(N(INDEX([1]Parametros!L$16:L$20,MATCH($C23,[1]Parametros!$A$16:$A$20,0)))*$K23,N('[1]ATS USA'!U23))&lt;=0,"",MIN(N(INDEX([1]Parametros!L$16:L$20,MATCH($C23,[1]Parametros!$A$16:$A$20,0)))*$K23,N('[1]ATS USA'!U23)))</f>
        <v>5</v>
      </c>
      <c r="W23" s="10">
        <f>IF(MIN(N(INDEX([1]Parametros!M$16:M$20,MATCH($C23,[1]Parametros!$A$16:$A$20,0)))*$K23,N('[1]ATS USA'!V23))&lt;=0,"",MIN(N(INDEX([1]Parametros!M$16:M$20,MATCH($C23,[1]Parametros!$A$16:$A$20,0)))*$K23,N('[1]ATS USA'!V23)))</f>
        <v>10</v>
      </c>
      <c r="X23" s="10">
        <f>IF(MIN(N(INDEX([1]Parametros!N$16:N$20,MATCH($C23,[1]Parametros!$A$16:$A$20,0)))*$K23,N('[1]ATS USA'!W23))&lt;=0,"",MIN(N(INDEX([1]Parametros!N$16:N$20,MATCH($C23,[1]Parametros!$A$16:$A$20,0)))*$K23,N('[1]ATS USA'!W23)))</f>
        <v>10</v>
      </c>
      <c r="Y23" s="10">
        <f>IF(MIN(N(INDEX([1]Parametros!O$16:O$20,MATCH($C23,[1]Parametros!$A$16:$A$20,0)))*$K23,N('[1]ATS USA'!X23))&lt;=0,"",MIN(N(INDEX([1]Parametros!O$16:O$20,MATCH($C23,[1]Parametros!$A$16:$A$20,0)))*$K23,N('[1]ATS USA'!X23)))</f>
        <v>10</v>
      </c>
      <c r="Z23" s="10">
        <f>IF(MIN(N(INDEX([1]Parametros!P$16:P$20,MATCH($C23,[1]Parametros!$A$16:$A$20,0)))*$K23,N('[1]ATS USA'!Y23))&lt;=0,"",MIN(N(INDEX([1]Parametros!P$16:P$20,MATCH($C23,[1]Parametros!$A$16:$A$20,0)))*$K23,N('[1]ATS USA'!Y23)))</f>
        <v>5</v>
      </c>
      <c r="AA23" s="9">
        <f>IF(MIN(N(INDEX([1]Parametros!Q$16:Q$20,MATCH($C23,[1]Parametros!$A$16:$A$20,0)))*$K23,N('[1]ATS USA'!Z23))&lt;=0,"",MIN(N(INDEX([1]Parametros!Q$16:Q$20,MATCH($C23,[1]Parametros!$A$16:$A$20,0)))*$K23,N('[1]ATS USA'!Z23)))</f>
        <v>5</v>
      </c>
      <c r="AB23" s="10">
        <f>IF(MIN(N(INDEX([1]Parametros!R$16:R$20,MATCH($C23,[1]Parametros!$A$16:$A$20,0)))*$K23,N('[1]ATS USA'!AA23))&lt;=0,"",MIN(N(INDEX([1]Parametros!R$16:R$20,MATCH($C23,[1]Parametros!$A$16:$A$20,0)))*$K23,N('[1]ATS USA'!AA23)))</f>
        <v>5</v>
      </c>
      <c r="AC23" s="9" t="str">
        <f>IF(MIN(N(INDEX([1]Parametros!S$16:S$20,MATCH($C23,[1]Parametros!$A$16:$A$20,0)))*$K23,N('[1]ATS USA'!AB23))&lt;=0,"",MIN(N(INDEX([1]Parametros!S$16:S$20,MATCH($C23,[1]Parametros!$A$16:$A$20,0)))*$K23,N('[1]ATS USA'!AB23)))</f>
        <v/>
      </c>
      <c r="AD23" s="10" t="str">
        <f>IF(MIN(N(INDEX([1]Parametros!T$16:T$20,MATCH($C23,[1]Parametros!$A$16:$A$20,0)))*$K23,N('[1]ATS USA'!AC23))&lt;=0,"",MIN(N(INDEX([1]Parametros!T$16:T$20,MATCH($C23,[1]Parametros!$A$16:$A$20,0)))*$K23,N('[1]ATS USA'!AC23)))</f>
        <v/>
      </c>
      <c r="AE23" s="9" t="str">
        <f>IF(MIN(N(INDEX([1]Parametros!U$16:U$20,MATCH($C23,[1]Parametros!$A$16:$A$20,0)))*$K23,N('[1]ATS USA'!AD23))&lt;=0,"",MIN(N(INDEX([1]Parametros!U$16:U$20,MATCH($C23,[1]Parametros!$A$16:$A$20,0)))*$K23,N('[1]ATS USA'!AD23)))</f>
        <v/>
      </c>
      <c r="AF23" s="11">
        <f t="shared" si="0"/>
        <v>55</v>
      </c>
      <c r="AG23" s="12" t="str">
        <f t="shared" si="1"/>
        <v>AJUSTAR</v>
      </c>
      <c r="AH23" s="6">
        <f t="shared" si="2"/>
        <v>1925</v>
      </c>
      <c r="AI23" s="9">
        <f t="shared" si="3"/>
        <v>5</v>
      </c>
      <c r="AJ23" s="13">
        <f>IF(LEFT($A23,8)="Tránsito",IFERROR(_xlfn.XLOOKUP(--$E23,'[1]Reserva Territorios'!$C:$C,'[1]Reserva Territorios'!$J:$J),0),0)</f>
        <v>0</v>
      </c>
      <c r="AK23" s="13">
        <f t="shared" si="4"/>
        <v>55</v>
      </c>
    </row>
    <row r="24" spans="1:37" ht="48.95" customHeight="1" x14ac:dyDescent="0.25">
      <c r="A24" s="3" t="s">
        <v>37</v>
      </c>
      <c r="B24" s="4" t="s">
        <v>112</v>
      </c>
      <c r="C24" s="4" t="s">
        <v>39</v>
      </c>
      <c r="D24" s="4" t="s">
        <v>118</v>
      </c>
      <c r="E24" s="4" t="s">
        <v>119</v>
      </c>
      <c r="F24" s="4" t="s">
        <v>120</v>
      </c>
      <c r="G24" s="4" t="s">
        <v>121</v>
      </c>
      <c r="H24" s="5">
        <v>46</v>
      </c>
      <c r="I24" s="6">
        <v>150</v>
      </c>
      <c r="J24" s="7">
        <f>ROUND(I24*[1]Parametros!$B$10,-3)</f>
        <v>535000</v>
      </c>
      <c r="K24" s="8">
        <v>2</v>
      </c>
      <c r="L24" s="9" t="str">
        <f>IF(MIN(N(INDEX([1]Parametros!B$16:B$20,MATCH($C24,[1]Parametros!$A$16:$A$20,0)))*$K24,N('[1]ATS USA'!K24))&lt;=0,"",MIN(N(INDEX([1]Parametros!B$16:B$20,MATCH($C24,[1]Parametros!$A$16:$A$20,0)))*$K24,N('[1]ATS USA'!K24)))</f>
        <v/>
      </c>
      <c r="M24" s="9" t="str">
        <f>IF(MIN(N(INDEX([1]Parametros!C$16:C$20,MATCH($C24,[1]Parametros!$A$16:$A$20,0)))*$K24,N('[1]ATS USA'!L24))&lt;=0,"",MIN(N(INDEX([1]Parametros!C$16:C$20,MATCH($C24,[1]Parametros!$A$16:$A$20,0)))*$K24,N('[1]ATS USA'!L24)))</f>
        <v/>
      </c>
      <c r="N24" s="9" t="str">
        <f>IF(MIN(N(INDEX([1]Parametros!D$16:D$20,MATCH($C24,[1]Parametros!$A$16:$A$20,0)))*$K24,N('[1]ATS USA'!M24))&lt;=0,"",MIN(N(INDEX([1]Parametros!D$16:D$20,MATCH($C24,[1]Parametros!$A$16:$A$20,0)))*$K24,N('[1]ATS USA'!M24)))</f>
        <v/>
      </c>
      <c r="O24" s="9" t="str">
        <f>IF(MIN(N(INDEX([1]Parametros!E$16:E$20,MATCH($C24,[1]Parametros!$A$16:$A$20,0)))*$K24,N('[1]ATS USA'!N24))&lt;=0,"",MIN(N(INDEX([1]Parametros!E$16:E$20,MATCH($C24,[1]Parametros!$A$16:$A$20,0)))*$K24,N('[1]ATS USA'!N24)))</f>
        <v/>
      </c>
      <c r="P24" s="9" t="str">
        <f>IF(MIN(N(INDEX([1]Parametros!F$16:F$20,MATCH($C24,[1]Parametros!$A$16:$A$20,0)))*$K24,N('[1]ATS USA'!O24))&lt;=0,"",MIN(N(INDEX([1]Parametros!F$16:F$20,MATCH($C24,[1]Parametros!$A$16:$A$20,0)))*$K24,N('[1]ATS USA'!O24)))</f>
        <v/>
      </c>
      <c r="Q24" s="9" t="str">
        <f>IF(MIN(N(INDEX([1]Parametros!G$16:G$20,MATCH($C24,[1]Parametros!$A$16:$A$20,0)))*$K24,N('[1]ATS USA'!P24))&lt;=0,"",MIN(N(INDEX([1]Parametros!G$16:G$20,MATCH($C24,[1]Parametros!$A$16:$A$20,0)))*$K24,N('[1]ATS USA'!P24)))</f>
        <v/>
      </c>
      <c r="R24" s="9" t="str">
        <f>IF(MIN(N(INDEX([1]Parametros!H$16:H$20,MATCH($C24,[1]Parametros!$A$16:$A$20,0)))*$K24,N('[1]ATS USA'!Q24))&lt;=0,"",MIN(N(INDEX([1]Parametros!H$16:H$20,MATCH($C24,[1]Parametros!$A$16:$A$20,0)))*$K24,N('[1]ATS USA'!Q24)))</f>
        <v/>
      </c>
      <c r="S24" s="9" t="str">
        <f>IF(MIN(N(INDEX([1]Parametros!I$16:I$20,MATCH($C24,[1]Parametros!$A$16:$A$20,0)))*$K24,N('[1]ATS USA'!R24))&lt;=0,"",MIN(N(INDEX([1]Parametros!I$16:I$20,MATCH($C24,[1]Parametros!$A$16:$A$20,0)))*$K24,N('[1]ATS USA'!R24)))</f>
        <v/>
      </c>
      <c r="T24" s="9" t="str">
        <f>IF(MIN(N(INDEX([1]Parametros!J$16:J$20,MATCH($C24,[1]Parametros!$A$16:$A$20,0)))*$K24,N('[1]ATS USA'!S24))&lt;=0,"",MIN(N(INDEX([1]Parametros!J$16:J$20,MATCH($C24,[1]Parametros!$A$16:$A$20,0)))*$K24,N('[1]ATS USA'!S24)))</f>
        <v/>
      </c>
      <c r="U24" s="9">
        <f>IF(MIN(N(INDEX([1]Parametros!K$16:K$20,MATCH($C24,[1]Parametros!$A$16:$A$20,0)))*$K24,N('[1]ATS USA'!T24))&lt;=0,"",MIN(N(INDEX([1]Parametros!K$16:K$20,MATCH($C24,[1]Parametros!$A$16:$A$20,0)))*$K24,N('[1]ATS USA'!T24)))</f>
        <v>2</v>
      </c>
      <c r="V24" s="10">
        <f>IF(MIN(N(INDEX([1]Parametros!L$16:L$20,MATCH($C24,[1]Parametros!$A$16:$A$20,0)))*$K24,N('[1]ATS USA'!U24))&lt;=0,"",MIN(N(INDEX([1]Parametros!L$16:L$20,MATCH($C24,[1]Parametros!$A$16:$A$20,0)))*$K24,N('[1]ATS USA'!U24)))</f>
        <v>2</v>
      </c>
      <c r="W24" s="10">
        <f>IF(MIN(N(INDEX([1]Parametros!M$16:M$20,MATCH($C24,[1]Parametros!$A$16:$A$20,0)))*$K24,N('[1]ATS USA'!V24))&lt;=0,"",MIN(N(INDEX([1]Parametros!M$16:M$20,MATCH($C24,[1]Parametros!$A$16:$A$20,0)))*$K24,N('[1]ATS USA'!V24)))</f>
        <v>4</v>
      </c>
      <c r="X24" s="10">
        <f>IF(MIN(N(INDEX([1]Parametros!N$16:N$20,MATCH($C24,[1]Parametros!$A$16:$A$20,0)))*$K24,N('[1]ATS USA'!W24))&lt;=0,"",MIN(N(INDEX([1]Parametros!N$16:N$20,MATCH($C24,[1]Parametros!$A$16:$A$20,0)))*$K24,N('[1]ATS USA'!W24)))</f>
        <v>4</v>
      </c>
      <c r="Y24" s="10">
        <f>IF(MIN(N(INDEX([1]Parametros!O$16:O$20,MATCH($C24,[1]Parametros!$A$16:$A$20,0)))*$K24,N('[1]ATS USA'!X24))&lt;=0,"",MIN(N(INDEX([1]Parametros!O$16:O$20,MATCH($C24,[1]Parametros!$A$16:$A$20,0)))*$K24,N('[1]ATS USA'!X24)))</f>
        <v>4</v>
      </c>
      <c r="Z24" s="10">
        <f>IF(MIN(N(INDEX([1]Parametros!P$16:P$20,MATCH($C24,[1]Parametros!$A$16:$A$20,0)))*$K24,N('[1]ATS USA'!Y24))&lt;=0,"",MIN(N(INDEX([1]Parametros!P$16:P$20,MATCH($C24,[1]Parametros!$A$16:$A$20,0)))*$K24,N('[1]ATS USA'!Y24)))</f>
        <v>2</v>
      </c>
      <c r="AA24" s="9">
        <f>IF(MIN(N(INDEX([1]Parametros!Q$16:Q$20,MATCH($C24,[1]Parametros!$A$16:$A$20,0)))*$K24,N('[1]ATS USA'!Z24))&lt;=0,"",MIN(N(INDEX([1]Parametros!Q$16:Q$20,MATCH($C24,[1]Parametros!$A$16:$A$20,0)))*$K24,N('[1]ATS USA'!Z24)))</f>
        <v>2</v>
      </c>
      <c r="AB24" s="10">
        <f>IF(MIN(N(INDEX([1]Parametros!R$16:R$20,MATCH($C24,[1]Parametros!$A$16:$A$20,0)))*$K24,N('[1]ATS USA'!AA24))&lt;=0,"",MIN(N(INDEX([1]Parametros!R$16:R$20,MATCH($C24,[1]Parametros!$A$16:$A$20,0)))*$K24,N('[1]ATS USA'!AA24)))</f>
        <v>2</v>
      </c>
      <c r="AC24" s="9" t="str">
        <f>IF(MIN(N(INDEX([1]Parametros!S$16:S$20,MATCH($C24,[1]Parametros!$A$16:$A$20,0)))*$K24,N('[1]ATS USA'!AB24))&lt;=0,"",MIN(N(INDEX([1]Parametros!S$16:S$20,MATCH($C24,[1]Parametros!$A$16:$A$20,0)))*$K24,N('[1]ATS USA'!AB24)))</f>
        <v/>
      </c>
      <c r="AD24" s="10" t="str">
        <f>IF(MIN(N(INDEX([1]Parametros!T$16:T$20,MATCH($C24,[1]Parametros!$A$16:$A$20,0)))*$K24,N('[1]ATS USA'!AC24))&lt;=0,"",MIN(N(INDEX([1]Parametros!T$16:T$20,MATCH($C24,[1]Parametros!$A$16:$A$20,0)))*$K24,N('[1]ATS USA'!AC24)))</f>
        <v/>
      </c>
      <c r="AE24" s="9" t="str">
        <f>IF(MIN(N(INDEX([1]Parametros!U$16:U$20,MATCH($C24,[1]Parametros!$A$16:$A$20,0)))*$K24,N('[1]ATS USA'!AD24))&lt;=0,"",MIN(N(INDEX([1]Parametros!U$16:U$20,MATCH($C24,[1]Parametros!$A$16:$A$20,0)))*$K24,N('[1]ATS USA'!AD24)))</f>
        <v/>
      </c>
      <c r="AF24" s="11">
        <f t="shared" si="0"/>
        <v>22</v>
      </c>
      <c r="AG24" s="12" t="str">
        <f t="shared" si="1"/>
        <v>AJUSTAR</v>
      </c>
      <c r="AH24" s="6">
        <f t="shared" si="2"/>
        <v>1012</v>
      </c>
      <c r="AI24" s="9">
        <f t="shared" si="3"/>
        <v>2</v>
      </c>
      <c r="AJ24" s="13">
        <f>IF(LEFT($A24,8)="Tránsito",IFERROR(_xlfn.XLOOKUP(--$E24,'[1]Reserva Territorios'!$C:$C,'[1]Reserva Territorios'!$J:$J),0),0)</f>
        <v>0</v>
      </c>
      <c r="AK24" s="13">
        <f t="shared" si="4"/>
        <v>22</v>
      </c>
    </row>
    <row r="25" spans="1:37" ht="48.95" hidden="1" customHeight="1" x14ac:dyDescent="0.25">
      <c r="A25" s="3" t="s">
        <v>37</v>
      </c>
      <c r="B25" s="4" t="s">
        <v>122</v>
      </c>
      <c r="C25" s="4" t="s">
        <v>39</v>
      </c>
      <c r="D25" s="4" t="s">
        <v>123</v>
      </c>
      <c r="E25" s="4" t="s">
        <v>124</v>
      </c>
      <c r="F25" s="4" t="s">
        <v>125</v>
      </c>
      <c r="G25" s="4" t="s">
        <v>126</v>
      </c>
      <c r="H25" s="5">
        <v>34.5</v>
      </c>
      <c r="I25" s="6">
        <v>130</v>
      </c>
      <c r="J25" s="7">
        <f>ROUND(I25*[1]Parametros!$B$10,-3)</f>
        <v>464000</v>
      </c>
      <c r="K25" s="8">
        <v>0</v>
      </c>
      <c r="L25" s="9" t="str">
        <f>IF(MIN(N(INDEX([1]Parametros!B$16:B$20,MATCH($C25,[1]Parametros!$A$16:$A$20,0)))*$K25,N('[1]ATS USA'!K25))&lt;=0,"",MIN(N(INDEX([1]Parametros!B$16:B$20,MATCH($C25,[1]Parametros!$A$16:$A$20,0)))*$K25,N('[1]ATS USA'!K25)))</f>
        <v/>
      </c>
      <c r="M25" s="9" t="str">
        <f>IF(MIN(N(INDEX([1]Parametros!C$16:C$20,MATCH($C25,[1]Parametros!$A$16:$A$20,0)))*$K25,N('[1]ATS USA'!L25))&lt;=0,"",MIN(N(INDEX([1]Parametros!C$16:C$20,MATCH($C25,[1]Parametros!$A$16:$A$20,0)))*$K25,N('[1]ATS USA'!L25)))</f>
        <v/>
      </c>
      <c r="N25" s="9" t="str">
        <f>IF(MIN(N(INDEX([1]Parametros!D$16:D$20,MATCH($C25,[1]Parametros!$A$16:$A$20,0)))*$K25,N('[1]ATS USA'!M25))&lt;=0,"",MIN(N(INDEX([1]Parametros!D$16:D$20,MATCH($C25,[1]Parametros!$A$16:$A$20,0)))*$K25,N('[1]ATS USA'!M25)))</f>
        <v/>
      </c>
      <c r="O25" s="9" t="str">
        <f>IF(MIN(N(INDEX([1]Parametros!E$16:E$20,MATCH($C25,[1]Parametros!$A$16:$A$20,0)))*$K25,N('[1]ATS USA'!N25))&lt;=0,"",MIN(N(INDEX([1]Parametros!E$16:E$20,MATCH($C25,[1]Parametros!$A$16:$A$20,0)))*$K25,N('[1]ATS USA'!N25)))</f>
        <v/>
      </c>
      <c r="P25" s="9" t="str">
        <f>IF(MIN(N(INDEX([1]Parametros!F$16:F$20,MATCH($C25,[1]Parametros!$A$16:$A$20,0)))*$K25,N('[1]ATS USA'!O25))&lt;=0,"",MIN(N(INDEX([1]Parametros!F$16:F$20,MATCH($C25,[1]Parametros!$A$16:$A$20,0)))*$K25,N('[1]ATS USA'!O25)))</f>
        <v/>
      </c>
      <c r="Q25" s="9" t="str">
        <f>IF(MIN(N(INDEX([1]Parametros!G$16:G$20,MATCH($C25,[1]Parametros!$A$16:$A$20,0)))*$K25,N('[1]ATS USA'!P25))&lt;=0,"",MIN(N(INDEX([1]Parametros!G$16:G$20,MATCH($C25,[1]Parametros!$A$16:$A$20,0)))*$K25,N('[1]ATS USA'!P25)))</f>
        <v/>
      </c>
      <c r="R25" s="9" t="str">
        <f>IF(MIN(N(INDEX([1]Parametros!H$16:H$20,MATCH($C25,[1]Parametros!$A$16:$A$20,0)))*$K25,N('[1]ATS USA'!Q25))&lt;=0,"",MIN(N(INDEX([1]Parametros!H$16:H$20,MATCH($C25,[1]Parametros!$A$16:$A$20,0)))*$K25,N('[1]ATS USA'!Q25)))</f>
        <v/>
      </c>
      <c r="S25" s="9" t="str">
        <f>IF(MIN(N(INDEX([1]Parametros!I$16:I$20,MATCH($C25,[1]Parametros!$A$16:$A$20,0)))*$K25,N('[1]ATS USA'!R25))&lt;=0,"",MIN(N(INDEX([1]Parametros!I$16:I$20,MATCH($C25,[1]Parametros!$A$16:$A$20,0)))*$K25,N('[1]ATS USA'!R25)))</f>
        <v/>
      </c>
      <c r="T25" s="9" t="str">
        <f>IF(MIN(N(INDEX([1]Parametros!J$16:J$20,MATCH($C25,[1]Parametros!$A$16:$A$20,0)))*$K25,N('[1]ATS USA'!S25))&lt;=0,"",MIN(N(INDEX([1]Parametros!J$16:J$20,MATCH($C25,[1]Parametros!$A$16:$A$20,0)))*$K25,N('[1]ATS USA'!S25)))</f>
        <v/>
      </c>
      <c r="U25" s="9" t="str">
        <f>IF(MIN(N(INDEX([1]Parametros!K$16:K$20,MATCH($C25,[1]Parametros!$A$16:$A$20,0)))*$K25,N('[1]ATS USA'!T25))&lt;=0,"",MIN(N(INDEX([1]Parametros!K$16:K$20,MATCH($C25,[1]Parametros!$A$16:$A$20,0)))*$K25,N('[1]ATS USA'!T25)))</f>
        <v/>
      </c>
      <c r="V25" s="10" t="str">
        <f>IF(MIN(N(INDEX([1]Parametros!L$16:L$20,MATCH($C25,[1]Parametros!$A$16:$A$20,0)))*$K25,N('[1]ATS USA'!U25))&lt;=0,"",MIN(N(INDEX([1]Parametros!L$16:L$20,MATCH($C25,[1]Parametros!$A$16:$A$20,0)))*$K25,N('[1]ATS USA'!U25)))</f>
        <v/>
      </c>
      <c r="W25" s="10" t="str">
        <f>IF(MIN(N(INDEX([1]Parametros!M$16:M$20,MATCH($C25,[1]Parametros!$A$16:$A$20,0)))*$K25,N('[1]ATS USA'!V25))&lt;=0,"",MIN(N(INDEX([1]Parametros!M$16:M$20,MATCH($C25,[1]Parametros!$A$16:$A$20,0)))*$K25,N('[1]ATS USA'!V25)))</f>
        <v/>
      </c>
      <c r="X25" s="10" t="str">
        <f>IF(MIN(N(INDEX([1]Parametros!N$16:N$20,MATCH($C25,[1]Parametros!$A$16:$A$20,0)))*$K25,N('[1]ATS USA'!W25))&lt;=0,"",MIN(N(INDEX([1]Parametros!N$16:N$20,MATCH($C25,[1]Parametros!$A$16:$A$20,0)))*$K25,N('[1]ATS USA'!W25)))</f>
        <v/>
      </c>
      <c r="Y25" s="10" t="str">
        <f>IF(MIN(N(INDEX([1]Parametros!O$16:O$20,MATCH($C25,[1]Parametros!$A$16:$A$20,0)))*$K25,N('[1]ATS USA'!X25))&lt;=0,"",MIN(N(INDEX([1]Parametros!O$16:O$20,MATCH($C25,[1]Parametros!$A$16:$A$20,0)))*$K25,N('[1]ATS USA'!X25)))</f>
        <v/>
      </c>
      <c r="Z25" s="10" t="str">
        <f>IF(MIN(N(INDEX([1]Parametros!P$16:P$20,MATCH($C25,[1]Parametros!$A$16:$A$20,0)))*$K25,N('[1]ATS USA'!Y25))&lt;=0,"",MIN(N(INDEX([1]Parametros!P$16:P$20,MATCH($C25,[1]Parametros!$A$16:$A$20,0)))*$K25,N('[1]ATS USA'!Y25)))</f>
        <v/>
      </c>
      <c r="AA25" s="9" t="str">
        <f>IF(MIN(N(INDEX([1]Parametros!Q$16:Q$20,MATCH($C25,[1]Parametros!$A$16:$A$20,0)))*$K25,N('[1]ATS USA'!Z25))&lt;=0,"",MIN(N(INDEX([1]Parametros!Q$16:Q$20,MATCH($C25,[1]Parametros!$A$16:$A$20,0)))*$K25,N('[1]ATS USA'!Z25)))</f>
        <v/>
      </c>
      <c r="AB25" s="10" t="str">
        <f>IF(MIN(N(INDEX([1]Parametros!R$16:R$20,MATCH($C25,[1]Parametros!$A$16:$A$20,0)))*$K25,N('[1]ATS USA'!AA25))&lt;=0,"",MIN(N(INDEX([1]Parametros!R$16:R$20,MATCH($C25,[1]Parametros!$A$16:$A$20,0)))*$K25,N('[1]ATS USA'!AA25)))</f>
        <v/>
      </c>
      <c r="AC25" s="9" t="str">
        <f>IF(MIN(N(INDEX([1]Parametros!S$16:S$20,MATCH($C25,[1]Parametros!$A$16:$A$20,0)))*$K25,N('[1]ATS USA'!AB25))&lt;=0,"",MIN(N(INDEX([1]Parametros!S$16:S$20,MATCH($C25,[1]Parametros!$A$16:$A$20,0)))*$K25,N('[1]ATS USA'!AB25)))</f>
        <v/>
      </c>
      <c r="AD25" s="10" t="str">
        <f>IF(MIN(N(INDEX([1]Parametros!T$16:T$20,MATCH($C25,[1]Parametros!$A$16:$A$20,0)))*$K25,N('[1]ATS USA'!AC25))&lt;=0,"",MIN(N(INDEX([1]Parametros!T$16:T$20,MATCH($C25,[1]Parametros!$A$16:$A$20,0)))*$K25,N('[1]ATS USA'!AC25)))</f>
        <v/>
      </c>
      <c r="AE25" s="9" t="str">
        <f>IF(MIN(N(INDEX([1]Parametros!U$16:U$20,MATCH($C25,[1]Parametros!$A$16:$A$20,0)))*$K25,N('[1]ATS USA'!AD25))&lt;=0,"",MIN(N(INDEX([1]Parametros!U$16:U$20,MATCH($C25,[1]Parametros!$A$16:$A$20,0)))*$K25,N('[1]ATS USA'!AD25)))</f>
        <v/>
      </c>
      <c r="AF25" s="11">
        <f t="shared" si="0"/>
        <v>0</v>
      </c>
      <c r="AG25" s="12" t="str">
        <f t="shared" si="1"/>
        <v>OK</v>
      </c>
      <c r="AH25" s="6">
        <f t="shared" si="2"/>
        <v>0</v>
      </c>
      <c r="AI25" s="9">
        <f t="shared" si="3"/>
        <v>0</v>
      </c>
      <c r="AJ25" s="13">
        <f>IF(LEFT($A25,8)="Tránsito",IFERROR(_xlfn.XLOOKUP(--$E25,'[1]Reserva Territorios'!$C:$C,'[1]Reserva Territorios'!$J:$J),0),0)</f>
        <v>0</v>
      </c>
      <c r="AK25" s="13">
        <f t="shared" si="4"/>
        <v>0</v>
      </c>
    </row>
    <row r="26" spans="1:37" ht="48.95" hidden="1" customHeight="1" x14ac:dyDescent="0.25">
      <c r="A26" s="3" t="s">
        <v>37</v>
      </c>
      <c r="B26" s="4" t="s">
        <v>122</v>
      </c>
      <c r="C26" s="4" t="s">
        <v>39</v>
      </c>
      <c r="D26" s="4" t="s">
        <v>127</v>
      </c>
      <c r="E26" s="4" t="s">
        <v>128</v>
      </c>
      <c r="F26" s="4" t="s">
        <v>129</v>
      </c>
      <c r="G26" s="4" t="s">
        <v>130</v>
      </c>
      <c r="H26" s="5">
        <v>40</v>
      </c>
      <c r="I26" s="6">
        <v>135</v>
      </c>
      <c r="J26" s="7">
        <f>ROUND(I26*[1]Parametros!$B$10,-3)</f>
        <v>482000</v>
      </c>
      <c r="K26" s="8">
        <v>0</v>
      </c>
      <c r="L26" s="9" t="str">
        <f>IF(MIN(N(INDEX([1]Parametros!B$16:B$20,MATCH($C26,[1]Parametros!$A$16:$A$20,0)))*$K26,N('[1]ATS USA'!K26))&lt;=0,"",MIN(N(INDEX([1]Parametros!B$16:B$20,MATCH($C26,[1]Parametros!$A$16:$A$20,0)))*$K26,N('[1]ATS USA'!K26)))</f>
        <v/>
      </c>
      <c r="M26" s="9" t="str">
        <f>IF(MIN(N(INDEX([1]Parametros!C$16:C$20,MATCH($C26,[1]Parametros!$A$16:$A$20,0)))*$K26,N('[1]ATS USA'!L26))&lt;=0,"",MIN(N(INDEX([1]Parametros!C$16:C$20,MATCH($C26,[1]Parametros!$A$16:$A$20,0)))*$K26,N('[1]ATS USA'!L26)))</f>
        <v/>
      </c>
      <c r="N26" s="9" t="str">
        <f>IF(MIN(N(INDEX([1]Parametros!D$16:D$20,MATCH($C26,[1]Parametros!$A$16:$A$20,0)))*$K26,N('[1]ATS USA'!M26))&lt;=0,"",MIN(N(INDEX([1]Parametros!D$16:D$20,MATCH($C26,[1]Parametros!$A$16:$A$20,0)))*$K26,N('[1]ATS USA'!M26)))</f>
        <v/>
      </c>
      <c r="O26" s="9" t="str">
        <f>IF(MIN(N(INDEX([1]Parametros!E$16:E$20,MATCH($C26,[1]Parametros!$A$16:$A$20,0)))*$K26,N('[1]ATS USA'!N26))&lt;=0,"",MIN(N(INDEX([1]Parametros!E$16:E$20,MATCH($C26,[1]Parametros!$A$16:$A$20,0)))*$K26,N('[1]ATS USA'!N26)))</f>
        <v/>
      </c>
      <c r="P26" s="9" t="str">
        <f>IF(MIN(N(INDEX([1]Parametros!F$16:F$20,MATCH($C26,[1]Parametros!$A$16:$A$20,0)))*$K26,N('[1]ATS USA'!O26))&lt;=0,"",MIN(N(INDEX([1]Parametros!F$16:F$20,MATCH($C26,[1]Parametros!$A$16:$A$20,0)))*$K26,N('[1]ATS USA'!O26)))</f>
        <v/>
      </c>
      <c r="Q26" s="9" t="str">
        <f>IF(MIN(N(INDEX([1]Parametros!G$16:G$20,MATCH($C26,[1]Parametros!$A$16:$A$20,0)))*$K26,N('[1]ATS USA'!P26))&lt;=0,"",MIN(N(INDEX([1]Parametros!G$16:G$20,MATCH($C26,[1]Parametros!$A$16:$A$20,0)))*$K26,N('[1]ATS USA'!P26)))</f>
        <v/>
      </c>
      <c r="R26" s="9" t="str">
        <f>IF(MIN(N(INDEX([1]Parametros!H$16:H$20,MATCH($C26,[1]Parametros!$A$16:$A$20,0)))*$K26,N('[1]ATS USA'!Q26))&lt;=0,"",MIN(N(INDEX([1]Parametros!H$16:H$20,MATCH($C26,[1]Parametros!$A$16:$A$20,0)))*$K26,N('[1]ATS USA'!Q26)))</f>
        <v/>
      </c>
      <c r="S26" s="9" t="str">
        <f>IF(MIN(N(INDEX([1]Parametros!I$16:I$20,MATCH($C26,[1]Parametros!$A$16:$A$20,0)))*$K26,N('[1]ATS USA'!R26))&lt;=0,"",MIN(N(INDEX([1]Parametros!I$16:I$20,MATCH($C26,[1]Parametros!$A$16:$A$20,0)))*$K26,N('[1]ATS USA'!R26)))</f>
        <v/>
      </c>
      <c r="T26" s="10" t="str">
        <f>IF(MIN(N(INDEX([1]Parametros!J$16:J$20,MATCH($C26,[1]Parametros!$A$16:$A$20,0)))*$K26,N('[1]ATS USA'!S26))&lt;=0,"",MIN(N(INDEX([1]Parametros!J$16:J$20,MATCH($C26,[1]Parametros!$A$16:$A$20,0)))*$K26,N('[1]ATS USA'!S26)))</f>
        <v/>
      </c>
      <c r="U26" s="9" t="str">
        <f>IF(MIN(N(INDEX([1]Parametros!K$16:K$20,MATCH($C26,[1]Parametros!$A$16:$A$20,0)))*$K26,N('[1]ATS USA'!T26))&lt;=0,"",MIN(N(INDEX([1]Parametros!K$16:K$20,MATCH($C26,[1]Parametros!$A$16:$A$20,0)))*$K26,N('[1]ATS USA'!T26)))</f>
        <v/>
      </c>
      <c r="V26" s="10" t="str">
        <f>IF(MIN(N(INDEX([1]Parametros!L$16:L$20,MATCH($C26,[1]Parametros!$A$16:$A$20,0)))*$K26,N('[1]ATS USA'!U26))&lt;=0,"",MIN(N(INDEX([1]Parametros!L$16:L$20,MATCH($C26,[1]Parametros!$A$16:$A$20,0)))*$K26,N('[1]ATS USA'!U26)))</f>
        <v/>
      </c>
      <c r="W26" s="10" t="str">
        <f>IF(MIN(N(INDEX([1]Parametros!M$16:M$20,MATCH($C26,[1]Parametros!$A$16:$A$20,0)))*$K26,N('[1]ATS USA'!V26))&lt;=0,"",MIN(N(INDEX([1]Parametros!M$16:M$20,MATCH($C26,[1]Parametros!$A$16:$A$20,0)))*$K26,N('[1]ATS USA'!V26)))</f>
        <v/>
      </c>
      <c r="X26" s="10" t="str">
        <f>IF(MIN(N(INDEX([1]Parametros!N$16:N$20,MATCH($C26,[1]Parametros!$A$16:$A$20,0)))*$K26,N('[1]ATS USA'!W26))&lt;=0,"",MIN(N(INDEX([1]Parametros!N$16:N$20,MATCH($C26,[1]Parametros!$A$16:$A$20,0)))*$K26,N('[1]ATS USA'!W26)))</f>
        <v/>
      </c>
      <c r="Y26" s="10" t="str">
        <f>IF(MIN(N(INDEX([1]Parametros!O$16:O$20,MATCH($C26,[1]Parametros!$A$16:$A$20,0)))*$K26,N('[1]ATS USA'!X26))&lt;=0,"",MIN(N(INDEX([1]Parametros!O$16:O$20,MATCH($C26,[1]Parametros!$A$16:$A$20,0)))*$K26,N('[1]ATS USA'!X26)))</f>
        <v/>
      </c>
      <c r="Z26" s="10" t="str">
        <f>IF(MIN(N(INDEX([1]Parametros!P$16:P$20,MATCH($C26,[1]Parametros!$A$16:$A$20,0)))*$K26,N('[1]ATS USA'!Y26))&lt;=0,"",MIN(N(INDEX([1]Parametros!P$16:P$20,MATCH($C26,[1]Parametros!$A$16:$A$20,0)))*$K26,N('[1]ATS USA'!Y26)))</f>
        <v/>
      </c>
      <c r="AA26" s="9" t="str">
        <f>IF(MIN(N(INDEX([1]Parametros!Q$16:Q$20,MATCH($C26,[1]Parametros!$A$16:$A$20,0)))*$K26,N('[1]ATS USA'!Z26))&lt;=0,"",MIN(N(INDEX([1]Parametros!Q$16:Q$20,MATCH($C26,[1]Parametros!$A$16:$A$20,0)))*$K26,N('[1]ATS USA'!Z26)))</f>
        <v/>
      </c>
      <c r="AB26" s="10" t="str">
        <f>IF(MIN(N(INDEX([1]Parametros!R$16:R$20,MATCH($C26,[1]Parametros!$A$16:$A$20,0)))*$K26,N('[1]ATS USA'!AA26))&lt;=0,"",MIN(N(INDEX([1]Parametros!R$16:R$20,MATCH($C26,[1]Parametros!$A$16:$A$20,0)))*$K26,N('[1]ATS USA'!AA26)))</f>
        <v/>
      </c>
      <c r="AC26" s="9" t="str">
        <f>IF(MIN(N(INDEX([1]Parametros!S$16:S$20,MATCH($C26,[1]Parametros!$A$16:$A$20,0)))*$K26,N('[1]ATS USA'!AB26))&lt;=0,"",MIN(N(INDEX([1]Parametros!S$16:S$20,MATCH($C26,[1]Parametros!$A$16:$A$20,0)))*$K26,N('[1]ATS USA'!AB26)))</f>
        <v/>
      </c>
      <c r="AD26" s="10" t="str">
        <f>IF(MIN(N(INDEX([1]Parametros!T$16:T$20,MATCH($C26,[1]Parametros!$A$16:$A$20,0)))*$K26,N('[1]ATS USA'!AC26))&lt;=0,"",MIN(N(INDEX([1]Parametros!T$16:T$20,MATCH($C26,[1]Parametros!$A$16:$A$20,0)))*$K26,N('[1]ATS USA'!AC26)))</f>
        <v/>
      </c>
      <c r="AE26" s="9" t="str">
        <f>IF(MIN(N(INDEX([1]Parametros!U$16:U$20,MATCH($C26,[1]Parametros!$A$16:$A$20,0)))*$K26,N('[1]ATS USA'!AD26))&lt;=0,"",MIN(N(INDEX([1]Parametros!U$16:U$20,MATCH($C26,[1]Parametros!$A$16:$A$20,0)))*$K26,N('[1]ATS USA'!AD26)))</f>
        <v/>
      </c>
      <c r="AF26" s="11">
        <f t="shared" si="0"/>
        <v>0</v>
      </c>
      <c r="AG26" s="12" t="str">
        <f t="shared" si="1"/>
        <v>OK</v>
      </c>
      <c r="AH26" s="6">
        <f t="shared" si="2"/>
        <v>0</v>
      </c>
      <c r="AI26" s="9">
        <f t="shared" si="3"/>
        <v>0</v>
      </c>
      <c r="AJ26" s="13">
        <f>IF(LEFT($A26,8)="Tránsito",IFERROR(_xlfn.XLOOKUP(--$E26,'[1]Reserva Territorios'!$C:$C,'[1]Reserva Territorios'!$J:$J),0),0)</f>
        <v>0</v>
      </c>
      <c r="AK26" s="13">
        <f t="shared" si="4"/>
        <v>0</v>
      </c>
    </row>
    <row r="27" spans="1:37" ht="48.95" hidden="1" customHeight="1" x14ac:dyDescent="0.25">
      <c r="A27" s="3" t="s">
        <v>37</v>
      </c>
      <c r="B27" s="4" t="s">
        <v>122</v>
      </c>
      <c r="C27" s="4" t="s">
        <v>39</v>
      </c>
      <c r="D27" s="4" t="s">
        <v>131</v>
      </c>
      <c r="E27" s="4" t="s">
        <v>132</v>
      </c>
      <c r="F27" s="4" t="s">
        <v>133</v>
      </c>
      <c r="G27" s="4" t="s">
        <v>134</v>
      </c>
      <c r="H27" s="5">
        <v>39</v>
      </c>
      <c r="I27" s="6">
        <v>140</v>
      </c>
      <c r="J27" s="7">
        <f>ROUND(I27*[1]Parametros!$B$10,-3)</f>
        <v>500000</v>
      </c>
      <c r="K27" s="8">
        <v>0</v>
      </c>
      <c r="L27" s="9" t="str">
        <f>IF(MIN(N(INDEX([1]Parametros!B$16:B$20,MATCH($C27,[1]Parametros!$A$16:$A$20,0)))*$K27,N('[1]ATS USA'!K27))&lt;=0,"",MIN(N(INDEX([1]Parametros!B$16:B$20,MATCH($C27,[1]Parametros!$A$16:$A$20,0)))*$K27,N('[1]ATS USA'!K27)))</f>
        <v/>
      </c>
      <c r="M27" s="9" t="str">
        <f>IF(MIN(N(INDEX([1]Parametros!C$16:C$20,MATCH($C27,[1]Parametros!$A$16:$A$20,0)))*$K27,N('[1]ATS USA'!L27))&lt;=0,"",MIN(N(INDEX([1]Parametros!C$16:C$20,MATCH($C27,[1]Parametros!$A$16:$A$20,0)))*$K27,N('[1]ATS USA'!L27)))</f>
        <v/>
      </c>
      <c r="N27" s="9" t="str">
        <f>IF(MIN(N(INDEX([1]Parametros!D$16:D$20,MATCH($C27,[1]Parametros!$A$16:$A$20,0)))*$K27,N('[1]ATS USA'!M27))&lt;=0,"",MIN(N(INDEX([1]Parametros!D$16:D$20,MATCH($C27,[1]Parametros!$A$16:$A$20,0)))*$K27,N('[1]ATS USA'!M27)))</f>
        <v/>
      </c>
      <c r="O27" s="9" t="str">
        <f>IF(MIN(N(INDEX([1]Parametros!E$16:E$20,MATCH($C27,[1]Parametros!$A$16:$A$20,0)))*$K27,N('[1]ATS USA'!N27))&lt;=0,"",MIN(N(INDEX([1]Parametros!E$16:E$20,MATCH($C27,[1]Parametros!$A$16:$A$20,0)))*$K27,N('[1]ATS USA'!N27)))</f>
        <v/>
      </c>
      <c r="P27" s="9" t="str">
        <f>IF(MIN(N(INDEX([1]Parametros!F$16:F$20,MATCH($C27,[1]Parametros!$A$16:$A$20,0)))*$K27,N('[1]ATS USA'!O27))&lt;=0,"",MIN(N(INDEX([1]Parametros!F$16:F$20,MATCH($C27,[1]Parametros!$A$16:$A$20,0)))*$K27,N('[1]ATS USA'!O27)))</f>
        <v/>
      </c>
      <c r="Q27" s="9" t="str">
        <f>IF(MIN(N(INDEX([1]Parametros!G$16:G$20,MATCH($C27,[1]Parametros!$A$16:$A$20,0)))*$K27,N('[1]ATS USA'!P27))&lt;=0,"",MIN(N(INDEX([1]Parametros!G$16:G$20,MATCH($C27,[1]Parametros!$A$16:$A$20,0)))*$K27,N('[1]ATS USA'!P27)))</f>
        <v/>
      </c>
      <c r="R27" s="9" t="str">
        <f>IF(MIN(N(INDEX([1]Parametros!H$16:H$20,MATCH($C27,[1]Parametros!$A$16:$A$20,0)))*$K27,N('[1]ATS USA'!Q27))&lt;=0,"",MIN(N(INDEX([1]Parametros!H$16:H$20,MATCH($C27,[1]Parametros!$A$16:$A$20,0)))*$K27,N('[1]ATS USA'!Q27)))</f>
        <v/>
      </c>
      <c r="S27" s="9" t="str">
        <f>IF(MIN(N(INDEX([1]Parametros!I$16:I$20,MATCH($C27,[1]Parametros!$A$16:$A$20,0)))*$K27,N('[1]ATS USA'!R27))&lt;=0,"",MIN(N(INDEX([1]Parametros!I$16:I$20,MATCH($C27,[1]Parametros!$A$16:$A$20,0)))*$K27,N('[1]ATS USA'!R27)))</f>
        <v/>
      </c>
      <c r="T27" s="10" t="str">
        <f>IF(MIN(N(INDEX([1]Parametros!J$16:J$20,MATCH($C27,[1]Parametros!$A$16:$A$20,0)))*$K27,N('[1]ATS USA'!S27))&lt;=0,"",MIN(N(INDEX([1]Parametros!J$16:J$20,MATCH($C27,[1]Parametros!$A$16:$A$20,0)))*$K27,N('[1]ATS USA'!S27)))</f>
        <v/>
      </c>
      <c r="U27" s="9" t="str">
        <f>IF(MIN(N(INDEX([1]Parametros!K$16:K$20,MATCH($C27,[1]Parametros!$A$16:$A$20,0)))*$K27,N('[1]ATS USA'!T27))&lt;=0,"",MIN(N(INDEX([1]Parametros!K$16:K$20,MATCH($C27,[1]Parametros!$A$16:$A$20,0)))*$K27,N('[1]ATS USA'!T27)))</f>
        <v/>
      </c>
      <c r="V27" s="10" t="str">
        <f>IF(MIN(N(INDEX([1]Parametros!L$16:L$20,MATCH($C27,[1]Parametros!$A$16:$A$20,0)))*$K27,N('[1]ATS USA'!U27))&lt;=0,"",MIN(N(INDEX([1]Parametros!L$16:L$20,MATCH($C27,[1]Parametros!$A$16:$A$20,0)))*$K27,N('[1]ATS USA'!U27)))</f>
        <v/>
      </c>
      <c r="W27" s="10" t="str">
        <f>IF(MIN(N(INDEX([1]Parametros!M$16:M$20,MATCH($C27,[1]Parametros!$A$16:$A$20,0)))*$K27,N('[1]ATS USA'!V27))&lt;=0,"",MIN(N(INDEX([1]Parametros!M$16:M$20,MATCH($C27,[1]Parametros!$A$16:$A$20,0)))*$K27,N('[1]ATS USA'!V27)))</f>
        <v/>
      </c>
      <c r="X27" s="10" t="str">
        <f>IF(MIN(N(INDEX([1]Parametros!N$16:N$20,MATCH($C27,[1]Parametros!$A$16:$A$20,0)))*$K27,N('[1]ATS USA'!W27))&lt;=0,"",MIN(N(INDEX([1]Parametros!N$16:N$20,MATCH($C27,[1]Parametros!$A$16:$A$20,0)))*$K27,N('[1]ATS USA'!W27)))</f>
        <v/>
      </c>
      <c r="Y27" s="10" t="str">
        <f>IF(MIN(N(INDEX([1]Parametros!O$16:O$20,MATCH($C27,[1]Parametros!$A$16:$A$20,0)))*$K27,N('[1]ATS USA'!X27))&lt;=0,"",MIN(N(INDEX([1]Parametros!O$16:O$20,MATCH($C27,[1]Parametros!$A$16:$A$20,0)))*$K27,N('[1]ATS USA'!X27)))</f>
        <v/>
      </c>
      <c r="Z27" s="10" t="str">
        <f>IF(MIN(N(INDEX([1]Parametros!P$16:P$20,MATCH($C27,[1]Parametros!$A$16:$A$20,0)))*$K27,N('[1]ATS USA'!Y27))&lt;=0,"",MIN(N(INDEX([1]Parametros!P$16:P$20,MATCH($C27,[1]Parametros!$A$16:$A$20,0)))*$K27,N('[1]ATS USA'!Y27)))</f>
        <v/>
      </c>
      <c r="AA27" s="9" t="str">
        <f>IF(MIN(N(INDEX([1]Parametros!Q$16:Q$20,MATCH($C27,[1]Parametros!$A$16:$A$20,0)))*$K27,N('[1]ATS USA'!Z27))&lt;=0,"",MIN(N(INDEX([1]Parametros!Q$16:Q$20,MATCH($C27,[1]Parametros!$A$16:$A$20,0)))*$K27,N('[1]ATS USA'!Z27)))</f>
        <v/>
      </c>
      <c r="AB27" s="10" t="str">
        <f>IF(MIN(N(INDEX([1]Parametros!R$16:R$20,MATCH($C27,[1]Parametros!$A$16:$A$20,0)))*$K27,N('[1]ATS USA'!AA27))&lt;=0,"",MIN(N(INDEX([1]Parametros!R$16:R$20,MATCH($C27,[1]Parametros!$A$16:$A$20,0)))*$K27,N('[1]ATS USA'!AA27)))</f>
        <v/>
      </c>
      <c r="AC27" s="9" t="str">
        <f>IF(MIN(N(INDEX([1]Parametros!S$16:S$20,MATCH($C27,[1]Parametros!$A$16:$A$20,0)))*$K27,N('[1]ATS USA'!AB27))&lt;=0,"",MIN(N(INDEX([1]Parametros!S$16:S$20,MATCH($C27,[1]Parametros!$A$16:$A$20,0)))*$K27,N('[1]ATS USA'!AB27)))</f>
        <v/>
      </c>
      <c r="AD27" s="10" t="str">
        <f>IF(MIN(N(INDEX([1]Parametros!T$16:T$20,MATCH($C27,[1]Parametros!$A$16:$A$20,0)))*$K27,N('[1]ATS USA'!AC27))&lt;=0,"",MIN(N(INDEX([1]Parametros!T$16:T$20,MATCH($C27,[1]Parametros!$A$16:$A$20,0)))*$K27,N('[1]ATS USA'!AC27)))</f>
        <v/>
      </c>
      <c r="AE27" s="9" t="str">
        <f>IF(MIN(N(INDEX([1]Parametros!U$16:U$20,MATCH($C27,[1]Parametros!$A$16:$A$20,0)))*$K27,N('[1]ATS USA'!AD27))&lt;=0,"",MIN(N(INDEX([1]Parametros!U$16:U$20,MATCH($C27,[1]Parametros!$A$16:$A$20,0)))*$K27,N('[1]ATS USA'!AD27)))</f>
        <v/>
      </c>
      <c r="AF27" s="11">
        <f t="shared" si="0"/>
        <v>0</v>
      </c>
      <c r="AG27" s="12" t="str">
        <f t="shared" si="1"/>
        <v>OK</v>
      </c>
      <c r="AH27" s="6">
        <f t="shared" si="2"/>
        <v>0</v>
      </c>
      <c r="AI27" s="9">
        <f t="shared" si="3"/>
        <v>0</v>
      </c>
      <c r="AJ27" s="13">
        <f>IF(LEFT($A27,8)="Tránsito",IFERROR(_xlfn.XLOOKUP(--$E27,'[1]Reserva Territorios'!$C:$C,'[1]Reserva Territorios'!$J:$J),0),0)</f>
        <v>0</v>
      </c>
      <c r="AK27" s="13">
        <f t="shared" si="4"/>
        <v>0</v>
      </c>
    </row>
    <row r="28" spans="1:37" ht="48.95" hidden="1" customHeight="1" x14ac:dyDescent="0.25">
      <c r="A28" s="3" t="s">
        <v>37</v>
      </c>
      <c r="B28" s="4" t="s">
        <v>38</v>
      </c>
      <c r="C28" s="4" t="s">
        <v>135</v>
      </c>
      <c r="D28" s="4" t="s">
        <v>136</v>
      </c>
      <c r="E28" s="4" t="s">
        <v>137</v>
      </c>
      <c r="F28" s="4" t="s">
        <v>138</v>
      </c>
      <c r="G28" s="4" t="s">
        <v>71</v>
      </c>
      <c r="H28" s="5">
        <v>24</v>
      </c>
      <c r="I28" s="6">
        <v>95</v>
      </c>
      <c r="J28" s="7">
        <f>ROUND(I28*[1]Parametros!$B$10,-3)</f>
        <v>339000</v>
      </c>
      <c r="K28" s="8">
        <v>0</v>
      </c>
      <c r="L28" s="9" t="str">
        <f>IF(MIN(N(INDEX([1]Parametros!B$16:B$20,MATCH($C28,[1]Parametros!$A$16:$A$20,0)))*$K28,N('[1]ATS USA'!K28))&lt;=0,"",MIN(N(INDEX([1]Parametros!B$16:B$20,MATCH($C28,[1]Parametros!$A$16:$A$20,0)))*$K28,N('[1]ATS USA'!K28)))</f>
        <v/>
      </c>
      <c r="M28" s="9" t="str">
        <f>IF(MIN(N(INDEX([1]Parametros!C$16:C$20,MATCH($C28,[1]Parametros!$A$16:$A$20,0)))*$K28,N('[1]ATS USA'!L28))&lt;=0,"",MIN(N(INDEX([1]Parametros!C$16:C$20,MATCH($C28,[1]Parametros!$A$16:$A$20,0)))*$K28,N('[1]ATS USA'!L28)))</f>
        <v/>
      </c>
      <c r="N28" s="9" t="str">
        <f>IF(MIN(N(INDEX([1]Parametros!D$16:D$20,MATCH($C28,[1]Parametros!$A$16:$A$20,0)))*$K28,N('[1]ATS USA'!M28))&lt;=0,"",MIN(N(INDEX([1]Parametros!D$16:D$20,MATCH($C28,[1]Parametros!$A$16:$A$20,0)))*$K28,N('[1]ATS USA'!M28)))</f>
        <v/>
      </c>
      <c r="O28" s="9" t="str">
        <f>IF(MIN(N(INDEX([1]Parametros!E$16:E$20,MATCH($C28,[1]Parametros!$A$16:$A$20,0)))*$K28,N('[1]ATS USA'!N28))&lt;=0,"",MIN(N(INDEX([1]Parametros!E$16:E$20,MATCH($C28,[1]Parametros!$A$16:$A$20,0)))*$K28,N('[1]ATS USA'!N28)))</f>
        <v/>
      </c>
      <c r="P28" s="10" t="str">
        <f>IF(MIN(N(INDEX([1]Parametros!F$16:F$20,MATCH($C28,[1]Parametros!$A$16:$A$20,0)))*$K28,N('[1]ATS USA'!O28))&lt;=0,"",MIN(N(INDEX([1]Parametros!F$16:F$20,MATCH($C28,[1]Parametros!$A$16:$A$20,0)))*$K28,N('[1]ATS USA'!O28)))</f>
        <v/>
      </c>
      <c r="Q28" s="10" t="str">
        <f>IF(MIN(N(INDEX([1]Parametros!G$16:G$20,MATCH($C28,[1]Parametros!$A$16:$A$20,0)))*$K28,N('[1]ATS USA'!P28))&lt;=0,"",MIN(N(INDEX([1]Parametros!G$16:G$20,MATCH($C28,[1]Parametros!$A$16:$A$20,0)))*$K28,N('[1]ATS USA'!P28)))</f>
        <v/>
      </c>
      <c r="R28" s="10" t="str">
        <f>IF(MIN(N(INDEX([1]Parametros!H$16:H$20,MATCH($C28,[1]Parametros!$A$16:$A$20,0)))*$K28,N('[1]ATS USA'!Q28))&lt;=0,"",MIN(N(INDEX([1]Parametros!H$16:H$20,MATCH($C28,[1]Parametros!$A$16:$A$20,0)))*$K28,N('[1]ATS USA'!Q28)))</f>
        <v/>
      </c>
      <c r="S28" s="10" t="str">
        <f>IF(MIN(N(INDEX([1]Parametros!I$16:I$20,MATCH($C28,[1]Parametros!$A$16:$A$20,0)))*$K28,N('[1]ATS USA'!R28))&lt;=0,"",MIN(N(INDEX([1]Parametros!I$16:I$20,MATCH($C28,[1]Parametros!$A$16:$A$20,0)))*$K28,N('[1]ATS USA'!R28)))</f>
        <v/>
      </c>
      <c r="T28" s="10" t="str">
        <f>IF(MIN(N(INDEX([1]Parametros!J$16:J$20,MATCH($C28,[1]Parametros!$A$16:$A$20,0)))*$K28,N('[1]ATS USA'!S28))&lt;=0,"",MIN(N(INDEX([1]Parametros!J$16:J$20,MATCH($C28,[1]Parametros!$A$16:$A$20,0)))*$K28,N('[1]ATS USA'!S28)))</f>
        <v/>
      </c>
      <c r="U28" s="10" t="str">
        <f>IF(MIN(N(INDEX([1]Parametros!K$16:K$20,MATCH($C28,[1]Parametros!$A$16:$A$20,0)))*$K28,N('[1]ATS USA'!T28))&lt;=0,"",MIN(N(INDEX([1]Parametros!K$16:K$20,MATCH($C28,[1]Parametros!$A$16:$A$20,0)))*$K28,N('[1]ATS USA'!T28)))</f>
        <v/>
      </c>
      <c r="V28" s="10" t="str">
        <f>IF(MIN(N(INDEX([1]Parametros!L$16:L$20,MATCH($C28,[1]Parametros!$A$16:$A$20,0)))*$K28,N('[1]ATS USA'!U28))&lt;=0,"",MIN(N(INDEX([1]Parametros!L$16:L$20,MATCH($C28,[1]Parametros!$A$16:$A$20,0)))*$K28,N('[1]ATS USA'!U28)))</f>
        <v/>
      </c>
      <c r="W28" s="9" t="str">
        <f>IF(MIN(N(INDEX([1]Parametros!M$16:M$20,MATCH($C28,[1]Parametros!$A$16:$A$20,0)))*$K28,N('[1]ATS USA'!V28))&lt;=0,"",MIN(N(INDEX([1]Parametros!M$16:M$20,MATCH($C28,[1]Parametros!$A$16:$A$20,0)))*$K28,N('[1]ATS USA'!V28)))</f>
        <v/>
      </c>
      <c r="X28" s="10" t="str">
        <f>IF(MIN(N(INDEX([1]Parametros!N$16:N$20,MATCH($C28,[1]Parametros!$A$16:$A$20,0)))*$K28,N('[1]ATS USA'!W28))&lt;=0,"",MIN(N(INDEX([1]Parametros!N$16:N$20,MATCH($C28,[1]Parametros!$A$16:$A$20,0)))*$K28,N('[1]ATS USA'!W28)))</f>
        <v/>
      </c>
      <c r="Y28" s="9" t="str">
        <f>IF(MIN(N(INDEX([1]Parametros!O$16:O$20,MATCH($C28,[1]Parametros!$A$16:$A$20,0)))*$K28,N('[1]ATS USA'!X28))&lt;=0,"",MIN(N(INDEX([1]Parametros!O$16:O$20,MATCH($C28,[1]Parametros!$A$16:$A$20,0)))*$K28,N('[1]ATS USA'!X28)))</f>
        <v/>
      </c>
      <c r="Z28" s="9" t="str">
        <f>IF(MIN(N(INDEX([1]Parametros!P$16:P$20,MATCH($C28,[1]Parametros!$A$16:$A$20,0)))*$K28,N('[1]ATS USA'!Y28))&lt;=0,"",MIN(N(INDEX([1]Parametros!P$16:P$20,MATCH($C28,[1]Parametros!$A$16:$A$20,0)))*$K28,N('[1]ATS USA'!Y28)))</f>
        <v/>
      </c>
      <c r="AA28" s="9" t="str">
        <f>IF(MIN(N(INDEX([1]Parametros!Q$16:Q$20,MATCH($C28,[1]Parametros!$A$16:$A$20,0)))*$K28,N('[1]ATS USA'!Z28))&lt;=0,"",MIN(N(INDEX([1]Parametros!Q$16:Q$20,MATCH($C28,[1]Parametros!$A$16:$A$20,0)))*$K28,N('[1]ATS USA'!Z28)))</f>
        <v/>
      </c>
      <c r="AB28" s="9" t="str">
        <f>IF(MIN(N(INDEX([1]Parametros!R$16:R$20,MATCH($C28,[1]Parametros!$A$16:$A$20,0)))*$K28,N('[1]ATS USA'!AA28))&lt;=0,"",MIN(N(INDEX([1]Parametros!R$16:R$20,MATCH($C28,[1]Parametros!$A$16:$A$20,0)))*$K28,N('[1]ATS USA'!AA28)))</f>
        <v/>
      </c>
      <c r="AC28" s="9" t="str">
        <f>IF(MIN(N(INDEX([1]Parametros!S$16:S$20,MATCH($C28,[1]Parametros!$A$16:$A$20,0)))*$K28,N('[1]ATS USA'!AB28))&lt;=0,"",MIN(N(INDEX([1]Parametros!S$16:S$20,MATCH($C28,[1]Parametros!$A$16:$A$20,0)))*$K28,N('[1]ATS USA'!AB28)))</f>
        <v/>
      </c>
      <c r="AD28" s="9" t="str">
        <f>IF(MIN(N(INDEX([1]Parametros!T$16:T$20,MATCH($C28,[1]Parametros!$A$16:$A$20,0)))*$K28,N('[1]ATS USA'!AC28))&lt;=0,"",MIN(N(INDEX([1]Parametros!T$16:T$20,MATCH($C28,[1]Parametros!$A$16:$A$20,0)))*$K28,N('[1]ATS USA'!AC28)))</f>
        <v/>
      </c>
      <c r="AE28" s="9" t="str">
        <f>IF(MIN(N(INDEX([1]Parametros!U$16:U$20,MATCH($C28,[1]Parametros!$A$16:$A$20,0)))*$K28,N('[1]ATS USA'!AD28))&lt;=0,"",MIN(N(INDEX([1]Parametros!U$16:U$20,MATCH($C28,[1]Parametros!$A$16:$A$20,0)))*$K28,N('[1]ATS USA'!AD28)))</f>
        <v/>
      </c>
      <c r="AF28" s="11">
        <f t="shared" si="0"/>
        <v>0</v>
      </c>
      <c r="AG28" s="12" t="str">
        <f t="shared" si="1"/>
        <v>OK</v>
      </c>
      <c r="AH28" s="6">
        <f t="shared" si="2"/>
        <v>0</v>
      </c>
      <c r="AI28" s="9">
        <f t="shared" si="3"/>
        <v>0</v>
      </c>
      <c r="AJ28" s="13">
        <f>IF(LEFT($A28,8)="Tránsito",IFERROR(_xlfn.XLOOKUP(--$E28,'[1]Reserva Territorios'!$C:$C,'[1]Reserva Territorios'!$J:$J),0),0)</f>
        <v>0</v>
      </c>
      <c r="AK28" s="13">
        <f t="shared" si="4"/>
        <v>0</v>
      </c>
    </row>
    <row r="29" spans="1:37" ht="48.95" hidden="1" customHeight="1" x14ac:dyDescent="0.25">
      <c r="A29" s="3" t="s">
        <v>37</v>
      </c>
      <c r="B29" s="4" t="s">
        <v>38</v>
      </c>
      <c r="C29" s="4" t="s">
        <v>135</v>
      </c>
      <c r="D29" s="4" t="s">
        <v>136</v>
      </c>
      <c r="E29" s="4" t="s">
        <v>139</v>
      </c>
      <c r="F29" s="4" t="s">
        <v>140</v>
      </c>
      <c r="G29" s="4" t="s">
        <v>141</v>
      </c>
      <c r="H29" s="5">
        <v>24</v>
      </c>
      <c r="I29" s="6">
        <v>95</v>
      </c>
      <c r="J29" s="7">
        <f>ROUND(I29*[1]Parametros!$B$10,-3)</f>
        <v>339000</v>
      </c>
      <c r="K29" s="8">
        <v>0</v>
      </c>
      <c r="L29" s="9" t="str">
        <f>IF(MIN(N(INDEX([1]Parametros!B$16:B$20,MATCH($C29,[1]Parametros!$A$16:$A$20,0)))*$K29,N('[1]ATS USA'!K29))&lt;=0,"",MIN(N(INDEX([1]Parametros!B$16:B$20,MATCH($C29,[1]Parametros!$A$16:$A$20,0)))*$K29,N('[1]ATS USA'!K29)))</f>
        <v/>
      </c>
      <c r="M29" s="9" t="str">
        <f>IF(MIN(N(INDEX([1]Parametros!C$16:C$20,MATCH($C29,[1]Parametros!$A$16:$A$20,0)))*$K29,N('[1]ATS USA'!L29))&lt;=0,"",MIN(N(INDEX([1]Parametros!C$16:C$20,MATCH($C29,[1]Parametros!$A$16:$A$20,0)))*$K29,N('[1]ATS USA'!L29)))</f>
        <v/>
      </c>
      <c r="N29" s="9" t="str">
        <f>IF(MIN(N(INDEX([1]Parametros!D$16:D$20,MATCH($C29,[1]Parametros!$A$16:$A$20,0)))*$K29,N('[1]ATS USA'!M29))&lt;=0,"",MIN(N(INDEX([1]Parametros!D$16:D$20,MATCH($C29,[1]Parametros!$A$16:$A$20,0)))*$K29,N('[1]ATS USA'!M29)))</f>
        <v/>
      </c>
      <c r="O29" s="9" t="str">
        <f>IF(MIN(N(INDEX([1]Parametros!E$16:E$20,MATCH($C29,[1]Parametros!$A$16:$A$20,0)))*$K29,N('[1]ATS USA'!N29))&lt;=0,"",MIN(N(INDEX([1]Parametros!E$16:E$20,MATCH($C29,[1]Parametros!$A$16:$A$20,0)))*$K29,N('[1]ATS USA'!N29)))</f>
        <v/>
      </c>
      <c r="P29" s="10" t="str">
        <f>IF(MIN(N(INDEX([1]Parametros!F$16:F$20,MATCH($C29,[1]Parametros!$A$16:$A$20,0)))*$K29,N('[1]ATS USA'!O29))&lt;=0,"",MIN(N(INDEX([1]Parametros!F$16:F$20,MATCH($C29,[1]Parametros!$A$16:$A$20,0)))*$K29,N('[1]ATS USA'!O29)))</f>
        <v/>
      </c>
      <c r="Q29" s="10" t="str">
        <f>IF(MIN(N(INDEX([1]Parametros!G$16:G$20,MATCH($C29,[1]Parametros!$A$16:$A$20,0)))*$K29,N('[1]ATS USA'!P29))&lt;=0,"",MIN(N(INDEX([1]Parametros!G$16:G$20,MATCH($C29,[1]Parametros!$A$16:$A$20,0)))*$K29,N('[1]ATS USA'!P29)))</f>
        <v/>
      </c>
      <c r="R29" s="10" t="str">
        <f>IF(MIN(N(INDEX([1]Parametros!H$16:H$20,MATCH($C29,[1]Parametros!$A$16:$A$20,0)))*$K29,N('[1]ATS USA'!Q29))&lt;=0,"",MIN(N(INDEX([1]Parametros!H$16:H$20,MATCH($C29,[1]Parametros!$A$16:$A$20,0)))*$K29,N('[1]ATS USA'!Q29)))</f>
        <v/>
      </c>
      <c r="S29" s="10" t="str">
        <f>IF(MIN(N(INDEX([1]Parametros!I$16:I$20,MATCH($C29,[1]Parametros!$A$16:$A$20,0)))*$K29,N('[1]ATS USA'!R29))&lt;=0,"",MIN(N(INDEX([1]Parametros!I$16:I$20,MATCH($C29,[1]Parametros!$A$16:$A$20,0)))*$K29,N('[1]ATS USA'!R29)))</f>
        <v/>
      </c>
      <c r="T29" s="10" t="str">
        <f>IF(MIN(N(INDEX([1]Parametros!J$16:J$20,MATCH($C29,[1]Parametros!$A$16:$A$20,0)))*$K29,N('[1]ATS USA'!S29))&lt;=0,"",MIN(N(INDEX([1]Parametros!J$16:J$20,MATCH($C29,[1]Parametros!$A$16:$A$20,0)))*$K29,N('[1]ATS USA'!S29)))</f>
        <v/>
      </c>
      <c r="U29" s="10" t="str">
        <f>IF(MIN(N(INDEX([1]Parametros!K$16:K$20,MATCH($C29,[1]Parametros!$A$16:$A$20,0)))*$K29,N('[1]ATS USA'!T29))&lt;=0,"",MIN(N(INDEX([1]Parametros!K$16:K$20,MATCH($C29,[1]Parametros!$A$16:$A$20,0)))*$K29,N('[1]ATS USA'!T29)))</f>
        <v/>
      </c>
      <c r="V29" s="10" t="str">
        <f>IF(MIN(N(INDEX([1]Parametros!L$16:L$20,MATCH($C29,[1]Parametros!$A$16:$A$20,0)))*$K29,N('[1]ATS USA'!U29))&lt;=0,"",MIN(N(INDEX([1]Parametros!L$16:L$20,MATCH($C29,[1]Parametros!$A$16:$A$20,0)))*$K29,N('[1]ATS USA'!U29)))</f>
        <v/>
      </c>
      <c r="W29" s="9" t="str">
        <f>IF(MIN(N(INDEX([1]Parametros!M$16:M$20,MATCH($C29,[1]Parametros!$A$16:$A$20,0)))*$K29,N('[1]ATS USA'!V29))&lt;=0,"",MIN(N(INDEX([1]Parametros!M$16:M$20,MATCH($C29,[1]Parametros!$A$16:$A$20,0)))*$K29,N('[1]ATS USA'!V29)))</f>
        <v/>
      </c>
      <c r="X29" s="10" t="str">
        <f>IF(MIN(N(INDEX([1]Parametros!N$16:N$20,MATCH($C29,[1]Parametros!$A$16:$A$20,0)))*$K29,N('[1]ATS USA'!W29))&lt;=0,"",MIN(N(INDEX([1]Parametros!N$16:N$20,MATCH($C29,[1]Parametros!$A$16:$A$20,0)))*$K29,N('[1]ATS USA'!W29)))</f>
        <v/>
      </c>
      <c r="Y29" s="9" t="str">
        <f>IF(MIN(N(INDEX([1]Parametros!O$16:O$20,MATCH($C29,[1]Parametros!$A$16:$A$20,0)))*$K29,N('[1]ATS USA'!X29))&lt;=0,"",MIN(N(INDEX([1]Parametros!O$16:O$20,MATCH($C29,[1]Parametros!$A$16:$A$20,0)))*$K29,N('[1]ATS USA'!X29)))</f>
        <v/>
      </c>
      <c r="Z29" s="9" t="str">
        <f>IF(MIN(N(INDEX([1]Parametros!P$16:P$20,MATCH($C29,[1]Parametros!$A$16:$A$20,0)))*$K29,N('[1]ATS USA'!Y29))&lt;=0,"",MIN(N(INDEX([1]Parametros!P$16:P$20,MATCH($C29,[1]Parametros!$A$16:$A$20,0)))*$K29,N('[1]ATS USA'!Y29)))</f>
        <v/>
      </c>
      <c r="AA29" s="9" t="str">
        <f>IF(MIN(N(INDEX([1]Parametros!Q$16:Q$20,MATCH($C29,[1]Parametros!$A$16:$A$20,0)))*$K29,N('[1]ATS USA'!Z29))&lt;=0,"",MIN(N(INDEX([1]Parametros!Q$16:Q$20,MATCH($C29,[1]Parametros!$A$16:$A$20,0)))*$K29,N('[1]ATS USA'!Z29)))</f>
        <v/>
      </c>
      <c r="AB29" s="9" t="str">
        <f>IF(MIN(N(INDEX([1]Parametros!R$16:R$20,MATCH($C29,[1]Parametros!$A$16:$A$20,0)))*$K29,N('[1]ATS USA'!AA29))&lt;=0,"",MIN(N(INDEX([1]Parametros!R$16:R$20,MATCH($C29,[1]Parametros!$A$16:$A$20,0)))*$K29,N('[1]ATS USA'!AA29)))</f>
        <v/>
      </c>
      <c r="AC29" s="9" t="str">
        <f>IF(MIN(N(INDEX([1]Parametros!S$16:S$20,MATCH($C29,[1]Parametros!$A$16:$A$20,0)))*$K29,N('[1]ATS USA'!AB29))&lt;=0,"",MIN(N(INDEX([1]Parametros!S$16:S$20,MATCH($C29,[1]Parametros!$A$16:$A$20,0)))*$K29,N('[1]ATS USA'!AB29)))</f>
        <v/>
      </c>
      <c r="AD29" s="9" t="str">
        <f>IF(MIN(N(INDEX([1]Parametros!T$16:T$20,MATCH($C29,[1]Parametros!$A$16:$A$20,0)))*$K29,N('[1]ATS USA'!AC29))&lt;=0,"",MIN(N(INDEX([1]Parametros!T$16:T$20,MATCH($C29,[1]Parametros!$A$16:$A$20,0)))*$K29,N('[1]ATS USA'!AC29)))</f>
        <v/>
      </c>
      <c r="AE29" s="9" t="str">
        <f>IF(MIN(N(INDEX([1]Parametros!U$16:U$20,MATCH($C29,[1]Parametros!$A$16:$A$20,0)))*$K29,N('[1]ATS USA'!AD29))&lt;=0,"",MIN(N(INDEX([1]Parametros!U$16:U$20,MATCH($C29,[1]Parametros!$A$16:$A$20,0)))*$K29,N('[1]ATS USA'!AD29)))</f>
        <v/>
      </c>
      <c r="AF29" s="11">
        <f t="shared" si="0"/>
        <v>0</v>
      </c>
      <c r="AG29" s="12" t="str">
        <f t="shared" si="1"/>
        <v>OK</v>
      </c>
      <c r="AH29" s="6">
        <f t="shared" si="2"/>
        <v>0</v>
      </c>
      <c r="AI29" s="9">
        <f t="shared" si="3"/>
        <v>0</v>
      </c>
      <c r="AJ29" s="13">
        <f>IF(LEFT($A29,8)="Tránsito",IFERROR(_xlfn.XLOOKUP(--$E29,'[1]Reserva Territorios'!$C:$C,'[1]Reserva Territorios'!$J:$J),0),0)</f>
        <v>0</v>
      </c>
      <c r="AK29" s="13">
        <f t="shared" si="4"/>
        <v>0</v>
      </c>
    </row>
    <row r="30" spans="1:37" ht="48.95" hidden="1" customHeight="1" x14ac:dyDescent="0.25">
      <c r="A30" s="3" t="s">
        <v>37</v>
      </c>
      <c r="B30" s="4" t="s">
        <v>38</v>
      </c>
      <c r="C30" s="4" t="s">
        <v>135</v>
      </c>
      <c r="D30" s="4" t="s">
        <v>136</v>
      </c>
      <c r="E30" s="4" t="s">
        <v>142</v>
      </c>
      <c r="F30" s="4" t="s">
        <v>143</v>
      </c>
      <c r="G30" s="4" t="s">
        <v>144</v>
      </c>
      <c r="H30" s="5">
        <v>24</v>
      </c>
      <c r="I30" s="6">
        <v>95</v>
      </c>
      <c r="J30" s="7">
        <f>ROUND(I30*[1]Parametros!$B$10,-3)</f>
        <v>339000</v>
      </c>
      <c r="K30" s="8">
        <v>0</v>
      </c>
      <c r="L30" s="9" t="str">
        <f>IF(MIN(N(INDEX([1]Parametros!B$16:B$20,MATCH($C30,[1]Parametros!$A$16:$A$20,0)))*$K30,N('[1]ATS USA'!K30))&lt;=0,"",MIN(N(INDEX([1]Parametros!B$16:B$20,MATCH($C30,[1]Parametros!$A$16:$A$20,0)))*$K30,N('[1]ATS USA'!K30)))</f>
        <v/>
      </c>
      <c r="M30" s="9" t="str">
        <f>IF(MIN(N(INDEX([1]Parametros!C$16:C$20,MATCH($C30,[1]Parametros!$A$16:$A$20,0)))*$K30,N('[1]ATS USA'!L30))&lt;=0,"",MIN(N(INDEX([1]Parametros!C$16:C$20,MATCH($C30,[1]Parametros!$A$16:$A$20,0)))*$K30,N('[1]ATS USA'!L30)))</f>
        <v/>
      </c>
      <c r="N30" s="9" t="str">
        <f>IF(MIN(N(INDEX([1]Parametros!D$16:D$20,MATCH($C30,[1]Parametros!$A$16:$A$20,0)))*$K30,N('[1]ATS USA'!M30))&lt;=0,"",MIN(N(INDEX([1]Parametros!D$16:D$20,MATCH($C30,[1]Parametros!$A$16:$A$20,0)))*$K30,N('[1]ATS USA'!M30)))</f>
        <v/>
      </c>
      <c r="O30" s="9" t="str">
        <f>IF(MIN(N(INDEX([1]Parametros!E$16:E$20,MATCH($C30,[1]Parametros!$A$16:$A$20,0)))*$K30,N('[1]ATS USA'!N30))&lt;=0,"",MIN(N(INDEX([1]Parametros!E$16:E$20,MATCH($C30,[1]Parametros!$A$16:$A$20,0)))*$K30,N('[1]ATS USA'!N30)))</f>
        <v/>
      </c>
      <c r="P30" s="10" t="str">
        <f>IF(MIN(N(INDEX([1]Parametros!F$16:F$20,MATCH($C30,[1]Parametros!$A$16:$A$20,0)))*$K30,N('[1]ATS USA'!O30))&lt;=0,"",MIN(N(INDEX([1]Parametros!F$16:F$20,MATCH($C30,[1]Parametros!$A$16:$A$20,0)))*$K30,N('[1]ATS USA'!O30)))</f>
        <v/>
      </c>
      <c r="Q30" s="10" t="str">
        <f>IF(MIN(N(INDEX([1]Parametros!G$16:G$20,MATCH($C30,[1]Parametros!$A$16:$A$20,0)))*$K30,N('[1]ATS USA'!P30))&lt;=0,"",MIN(N(INDEX([1]Parametros!G$16:G$20,MATCH($C30,[1]Parametros!$A$16:$A$20,0)))*$K30,N('[1]ATS USA'!P30)))</f>
        <v/>
      </c>
      <c r="R30" s="10" t="str">
        <f>IF(MIN(N(INDEX([1]Parametros!H$16:H$20,MATCH($C30,[1]Parametros!$A$16:$A$20,0)))*$K30,N('[1]ATS USA'!Q30))&lt;=0,"",MIN(N(INDEX([1]Parametros!H$16:H$20,MATCH($C30,[1]Parametros!$A$16:$A$20,0)))*$K30,N('[1]ATS USA'!Q30)))</f>
        <v/>
      </c>
      <c r="S30" s="10" t="str">
        <f>IF(MIN(N(INDEX([1]Parametros!I$16:I$20,MATCH($C30,[1]Parametros!$A$16:$A$20,0)))*$K30,N('[1]ATS USA'!R30))&lt;=0,"",MIN(N(INDEX([1]Parametros!I$16:I$20,MATCH($C30,[1]Parametros!$A$16:$A$20,0)))*$K30,N('[1]ATS USA'!R30)))</f>
        <v/>
      </c>
      <c r="T30" s="10" t="str">
        <f>IF(MIN(N(INDEX([1]Parametros!J$16:J$20,MATCH($C30,[1]Parametros!$A$16:$A$20,0)))*$K30,N('[1]ATS USA'!S30))&lt;=0,"",MIN(N(INDEX([1]Parametros!J$16:J$20,MATCH($C30,[1]Parametros!$A$16:$A$20,0)))*$K30,N('[1]ATS USA'!S30)))</f>
        <v/>
      </c>
      <c r="U30" s="10" t="str">
        <f>IF(MIN(N(INDEX([1]Parametros!K$16:K$20,MATCH($C30,[1]Parametros!$A$16:$A$20,0)))*$K30,N('[1]ATS USA'!T30))&lt;=0,"",MIN(N(INDEX([1]Parametros!K$16:K$20,MATCH($C30,[1]Parametros!$A$16:$A$20,0)))*$K30,N('[1]ATS USA'!T30)))</f>
        <v/>
      </c>
      <c r="V30" s="10" t="str">
        <f>IF(MIN(N(INDEX([1]Parametros!L$16:L$20,MATCH($C30,[1]Parametros!$A$16:$A$20,0)))*$K30,N('[1]ATS USA'!U30))&lt;=0,"",MIN(N(INDEX([1]Parametros!L$16:L$20,MATCH($C30,[1]Parametros!$A$16:$A$20,0)))*$K30,N('[1]ATS USA'!U30)))</f>
        <v/>
      </c>
      <c r="W30" s="9" t="str">
        <f>IF(MIN(N(INDEX([1]Parametros!M$16:M$20,MATCH($C30,[1]Parametros!$A$16:$A$20,0)))*$K30,N('[1]ATS USA'!V30))&lt;=0,"",MIN(N(INDEX([1]Parametros!M$16:M$20,MATCH($C30,[1]Parametros!$A$16:$A$20,0)))*$K30,N('[1]ATS USA'!V30)))</f>
        <v/>
      </c>
      <c r="X30" s="10" t="str">
        <f>IF(MIN(N(INDEX([1]Parametros!N$16:N$20,MATCH($C30,[1]Parametros!$A$16:$A$20,0)))*$K30,N('[1]ATS USA'!W30))&lt;=0,"",MIN(N(INDEX([1]Parametros!N$16:N$20,MATCH($C30,[1]Parametros!$A$16:$A$20,0)))*$K30,N('[1]ATS USA'!W30)))</f>
        <v/>
      </c>
      <c r="Y30" s="9" t="str">
        <f>IF(MIN(N(INDEX([1]Parametros!O$16:O$20,MATCH($C30,[1]Parametros!$A$16:$A$20,0)))*$K30,N('[1]ATS USA'!X30))&lt;=0,"",MIN(N(INDEX([1]Parametros!O$16:O$20,MATCH($C30,[1]Parametros!$A$16:$A$20,0)))*$K30,N('[1]ATS USA'!X30)))</f>
        <v/>
      </c>
      <c r="Z30" s="9" t="str">
        <f>IF(MIN(N(INDEX([1]Parametros!P$16:P$20,MATCH($C30,[1]Parametros!$A$16:$A$20,0)))*$K30,N('[1]ATS USA'!Y30))&lt;=0,"",MIN(N(INDEX([1]Parametros!P$16:P$20,MATCH($C30,[1]Parametros!$A$16:$A$20,0)))*$K30,N('[1]ATS USA'!Y30)))</f>
        <v/>
      </c>
      <c r="AA30" s="9" t="str">
        <f>IF(MIN(N(INDEX([1]Parametros!Q$16:Q$20,MATCH($C30,[1]Parametros!$A$16:$A$20,0)))*$K30,N('[1]ATS USA'!Z30))&lt;=0,"",MIN(N(INDEX([1]Parametros!Q$16:Q$20,MATCH($C30,[1]Parametros!$A$16:$A$20,0)))*$K30,N('[1]ATS USA'!Z30)))</f>
        <v/>
      </c>
      <c r="AB30" s="9" t="str">
        <f>IF(MIN(N(INDEX([1]Parametros!R$16:R$20,MATCH($C30,[1]Parametros!$A$16:$A$20,0)))*$K30,N('[1]ATS USA'!AA30))&lt;=0,"",MIN(N(INDEX([1]Parametros!R$16:R$20,MATCH($C30,[1]Parametros!$A$16:$A$20,0)))*$K30,N('[1]ATS USA'!AA30)))</f>
        <v/>
      </c>
      <c r="AC30" s="9" t="str">
        <f>IF(MIN(N(INDEX([1]Parametros!S$16:S$20,MATCH($C30,[1]Parametros!$A$16:$A$20,0)))*$K30,N('[1]ATS USA'!AB30))&lt;=0,"",MIN(N(INDEX([1]Parametros!S$16:S$20,MATCH($C30,[1]Parametros!$A$16:$A$20,0)))*$K30,N('[1]ATS USA'!AB30)))</f>
        <v/>
      </c>
      <c r="AD30" s="9" t="str">
        <f>IF(MIN(N(INDEX([1]Parametros!T$16:T$20,MATCH($C30,[1]Parametros!$A$16:$A$20,0)))*$K30,N('[1]ATS USA'!AC30))&lt;=0,"",MIN(N(INDEX([1]Parametros!T$16:T$20,MATCH($C30,[1]Parametros!$A$16:$A$20,0)))*$K30,N('[1]ATS USA'!AC30)))</f>
        <v/>
      </c>
      <c r="AE30" s="9" t="str">
        <f>IF(MIN(N(INDEX([1]Parametros!U$16:U$20,MATCH($C30,[1]Parametros!$A$16:$A$20,0)))*$K30,N('[1]ATS USA'!AD30))&lt;=0,"",MIN(N(INDEX([1]Parametros!U$16:U$20,MATCH($C30,[1]Parametros!$A$16:$A$20,0)))*$K30,N('[1]ATS USA'!AD30)))</f>
        <v/>
      </c>
      <c r="AF30" s="11">
        <f t="shared" si="0"/>
        <v>0</v>
      </c>
      <c r="AG30" s="12" t="str">
        <f t="shared" si="1"/>
        <v>OK</v>
      </c>
      <c r="AH30" s="6">
        <f t="shared" si="2"/>
        <v>0</v>
      </c>
      <c r="AI30" s="9">
        <f t="shared" si="3"/>
        <v>0</v>
      </c>
      <c r="AJ30" s="13">
        <f>IF(LEFT($A30,8)="Tránsito",IFERROR(_xlfn.XLOOKUP(--$E30,'[1]Reserva Territorios'!$C:$C,'[1]Reserva Territorios'!$J:$J),0),0)</f>
        <v>0</v>
      </c>
      <c r="AK30" s="13">
        <f t="shared" si="4"/>
        <v>0</v>
      </c>
    </row>
    <row r="31" spans="1:37" ht="48.95" hidden="1" customHeight="1" x14ac:dyDescent="0.25">
      <c r="A31" s="3" t="s">
        <v>37</v>
      </c>
      <c r="B31" s="4" t="s">
        <v>38</v>
      </c>
      <c r="C31" s="4" t="s">
        <v>135</v>
      </c>
      <c r="D31" s="4" t="s">
        <v>145</v>
      </c>
      <c r="E31" s="4" t="s">
        <v>146</v>
      </c>
      <c r="F31" s="4" t="s">
        <v>147</v>
      </c>
      <c r="G31" s="4" t="s">
        <v>148</v>
      </c>
      <c r="H31" s="5">
        <v>26</v>
      </c>
      <c r="I31" s="6">
        <v>115</v>
      </c>
      <c r="J31" s="7">
        <f>ROUND(I31*[1]Parametros!$B$10,-3)</f>
        <v>410000</v>
      </c>
      <c r="K31" s="8">
        <v>0</v>
      </c>
      <c r="L31" s="9" t="str">
        <f>IF(MIN(N(INDEX([1]Parametros!B$16:B$20,MATCH($C31,[1]Parametros!$A$16:$A$20,0)))*$K31,N('[1]ATS USA'!K31))&lt;=0,"",MIN(N(INDEX([1]Parametros!B$16:B$20,MATCH($C31,[1]Parametros!$A$16:$A$20,0)))*$K31,N('[1]ATS USA'!K31)))</f>
        <v/>
      </c>
      <c r="M31" s="9" t="str">
        <f>IF(MIN(N(INDEX([1]Parametros!C$16:C$20,MATCH($C31,[1]Parametros!$A$16:$A$20,0)))*$K31,N('[1]ATS USA'!L31))&lt;=0,"",MIN(N(INDEX([1]Parametros!C$16:C$20,MATCH($C31,[1]Parametros!$A$16:$A$20,0)))*$K31,N('[1]ATS USA'!L31)))</f>
        <v/>
      </c>
      <c r="N31" s="9" t="str">
        <f>IF(MIN(N(INDEX([1]Parametros!D$16:D$20,MATCH($C31,[1]Parametros!$A$16:$A$20,0)))*$K31,N('[1]ATS USA'!M31))&lt;=0,"",MIN(N(INDEX([1]Parametros!D$16:D$20,MATCH($C31,[1]Parametros!$A$16:$A$20,0)))*$K31,N('[1]ATS USA'!M31)))</f>
        <v/>
      </c>
      <c r="O31" s="9" t="str">
        <f>IF(MIN(N(INDEX([1]Parametros!E$16:E$20,MATCH($C31,[1]Parametros!$A$16:$A$20,0)))*$K31,N('[1]ATS USA'!N31))&lt;=0,"",MIN(N(INDEX([1]Parametros!E$16:E$20,MATCH($C31,[1]Parametros!$A$16:$A$20,0)))*$K31,N('[1]ATS USA'!N31)))</f>
        <v/>
      </c>
      <c r="P31" s="9" t="str">
        <f>IF(MIN(N(INDEX([1]Parametros!F$16:F$20,MATCH($C31,[1]Parametros!$A$16:$A$20,0)))*$K31,N('[1]ATS USA'!O31))&lt;=0,"",MIN(N(INDEX([1]Parametros!F$16:F$20,MATCH($C31,[1]Parametros!$A$16:$A$20,0)))*$K31,N('[1]ATS USA'!O31)))</f>
        <v/>
      </c>
      <c r="Q31" s="9" t="str">
        <f>IF(MIN(N(INDEX([1]Parametros!G$16:G$20,MATCH($C31,[1]Parametros!$A$16:$A$20,0)))*$K31,N('[1]ATS USA'!P31))&lt;=0,"",MIN(N(INDEX([1]Parametros!G$16:G$20,MATCH($C31,[1]Parametros!$A$16:$A$20,0)))*$K31,N('[1]ATS USA'!P31)))</f>
        <v/>
      </c>
      <c r="R31" s="10" t="str">
        <f>IF(MIN(N(INDEX([1]Parametros!H$16:H$20,MATCH($C31,[1]Parametros!$A$16:$A$20,0)))*$K31,N('[1]ATS USA'!Q31))&lt;=0,"",MIN(N(INDEX([1]Parametros!H$16:H$20,MATCH($C31,[1]Parametros!$A$16:$A$20,0)))*$K31,N('[1]ATS USA'!Q31)))</f>
        <v/>
      </c>
      <c r="S31" s="10" t="str">
        <f>IF(MIN(N(INDEX([1]Parametros!I$16:I$20,MATCH($C31,[1]Parametros!$A$16:$A$20,0)))*$K31,N('[1]ATS USA'!R31))&lt;=0,"",MIN(N(INDEX([1]Parametros!I$16:I$20,MATCH($C31,[1]Parametros!$A$16:$A$20,0)))*$K31,N('[1]ATS USA'!R31)))</f>
        <v/>
      </c>
      <c r="T31" s="10" t="str">
        <f>IF(MIN(N(INDEX([1]Parametros!J$16:J$20,MATCH($C31,[1]Parametros!$A$16:$A$20,0)))*$K31,N('[1]ATS USA'!S31))&lt;=0,"",MIN(N(INDEX([1]Parametros!J$16:J$20,MATCH($C31,[1]Parametros!$A$16:$A$20,0)))*$K31,N('[1]ATS USA'!S31)))</f>
        <v/>
      </c>
      <c r="U31" s="10" t="str">
        <f>IF(MIN(N(INDEX([1]Parametros!K$16:K$20,MATCH($C31,[1]Parametros!$A$16:$A$20,0)))*$K31,N('[1]ATS USA'!T31))&lt;=0,"",MIN(N(INDEX([1]Parametros!K$16:K$20,MATCH($C31,[1]Parametros!$A$16:$A$20,0)))*$K31,N('[1]ATS USA'!T31)))</f>
        <v/>
      </c>
      <c r="V31" s="10" t="str">
        <f>IF(MIN(N(INDEX([1]Parametros!L$16:L$20,MATCH($C31,[1]Parametros!$A$16:$A$20,0)))*$K31,N('[1]ATS USA'!U31))&lt;=0,"",MIN(N(INDEX([1]Parametros!L$16:L$20,MATCH($C31,[1]Parametros!$A$16:$A$20,0)))*$K31,N('[1]ATS USA'!U31)))</f>
        <v/>
      </c>
      <c r="W31" s="9" t="str">
        <f>IF(MIN(N(INDEX([1]Parametros!M$16:M$20,MATCH($C31,[1]Parametros!$A$16:$A$20,0)))*$K31,N('[1]ATS USA'!V31))&lt;=0,"",MIN(N(INDEX([1]Parametros!M$16:M$20,MATCH($C31,[1]Parametros!$A$16:$A$20,0)))*$K31,N('[1]ATS USA'!V31)))</f>
        <v/>
      </c>
      <c r="X31" s="10" t="str">
        <f>IF(MIN(N(INDEX([1]Parametros!N$16:N$20,MATCH($C31,[1]Parametros!$A$16:$A$20,0)))*$K31,N('[1]ATS USA'!W31))&lt;=0,"",MIN(N(INDEX([1]Parametros!N$16:N$20,MATCH($C31,[1]Parametros!$A$16:$A$20,0)))*$K31,N('[1]ATS USA'!W31)))</f>
        <v/>
      </c>
      <c r="Y31" s="9" t="str">
        <f>IF(MIN(N(INDEX([1]Parametros!O$16:O$20,MATCH($C31,[1]Parametros!$A$16:$A$20,0)))*$K31,N('[1]ATS USA'!X31))&lt;=0,"",MIN(N(INDEX([1]Parametros!O$16:O$20,MATCH($C31,[1]Parametros!$A$16:$A$20,0)))*$K31,N('[1]ATS USA'!X31)))</f>
        <v/>
      </c>
      <c r="Z31" s="9" t="str">
        <f>IF(MIN(N(INDEX([1]Parametros!P$16:P$20,MATCH($C31,[1]Parametros!$A$16:$A$20,0)))*$K31,N('[1]ATS USA'!Y31))&lt;=0,"",MIN(N(INDEX([1]Parametros!P$16:P$20,MATCH($C31,[1]Parametros!$A$16:$A$20,0)))*$K31,N('[1]ATS USA'!Y31)))</f>
        <v/>
      </c>
      <c r="AA31" s="9" t="str">
        <f>IF(MIN(N(INDEX([1]Parametros!Q$16:Q$20,MATCH($C31,[1]Parametros!$A$16:$A$20,0)))*$K31,N('[1]ATS USA'!Z31))&lt;=0,"",MIN(N(INDEX([1]Parametros!Q$16:Q$20,MATCH($C31,[1]Parametros!$A$16:$A$20,0)))*$K31,N('[1]ATS USA'!Z31)))</f>
        <v/>
      </c>
      <c r="AB31" s="9" t="str">
        <f>IF(MIN(N(INDEX([1]Parametros!R$16:R$20,MATCH($C31,[1]Parametros!$A$16:$A$20,0)))*$K31,N('[1]ATS USA'!AA31))&lt;=0,"",MIN(N(INDEX([1]Parametros!R$16:R$20,MATCH($C31,[1]Parametros!$A$16:$A$20,0)))*$K31,N('[1]ATS USA'!AA31)))</f>
        <v/>
      </c>
      <c r="AC31" s="9" t="str">
        <f>IF(MIN(N(INDEX([1]Parametros!S$16:S$20,MATCH($C31,[1]Parametros!$A$16:$A$20,0)))*$K31,N('[1]ATS USA'!AB31))&lt;=0,"",MIN(N(INDEX([1]Parametros!S$16:S$20,MATCH($C31,[1]Parametros!$A$16:$A$20,0)))*$K31,N('[1]ATS USA'!AB31)))</f>
        <v/>
      </c>
      <c r="AD31" s="9" t="str">
        <f>IF(MIN(N(INDEX([1]Parametros!T$16:T$20,MATCH($C31,[1]Parametros!$A$16:$A$20,0)))*$K31,N('[1]ATS USA'!AC31))&lt;=0,"",MIN(N(INDEX([1]Parametros!T$16:T$20,MATCH($C31,[1]Parametros!$A$16:$A$20,0)))*$K31,N('[1]ATS USA'!AC31)))</f>
        <v/>
      </c>
      <c r="AE31" s="9" t="str">
        <f>IF(MIN(N(INDEX([1]Parametros!U$16:U$20,MATCH($C31,[1]Parametros!$A$16:$A$20,0)))*$K31,N('[1]ATS USA'!AD31))&lt;=0,"",MIN(N(INDEX([1]Parametros!U$16:U$20,MATCH($C31,[1]Parametros!$A$16:$A$20,0)))*$K31,N('[1]ATS USA'!AD31)))</f>
        <v/>
      </c>
      <c r="AF31" s="11">
        <f t="shared" si="0"/>
        <v>0</v>
      </c>
      <c r="AG31" s="12" t="str">
        <f t="shared" si="1"/>
        <v>OK</v>
      </c>
      <c r="AH31" s="6">
        <f t="shared" si="2"/>
        <v>0</v>
      </c>
      <c r="AI31" s="9">
        <f t="shared" si="3"/>
        <v>0</v>
      </c>
      <c r="AJ31" s="13">
        <f>IF(LEFT($A31,8)="Tránsito",IFERROR(_xlfn.XLOOKUP(--$E31,'[1]Reserva Territorios'!$C:$C,'[1]Reserva Territorios'!$J:$J),0),0)</f>
        <v>0</v>
      </c>
      <c r="AK31" s="13">
        <f t="shared" si="4"/>
        <v>0</v>
      </c>
    </row>
    <row r="32" spans="1:37" ht="48.95" hidden="1" customHeight="1" x14ac:dyDescent="0.25">
      <c r="A32" s="3" t="s">
        <v>37</v>
      </c>
      <c r="B32" s="4" t="s">
        <v>38</v>
      </c>
      <c r="C32" s="4" t="s">
        <v>135</v>
      </c>
      <c r="D32" s="4" t="s">
        <v>145</v>
      </c>
      <c r="E32" s="4" t="s">
        <v>149</v>
      </c>
      <c r="F32" s="4" t="s">
        <v>150</v>
      </c>
      <c r="G32" s="4" t="s">
        <v>151</v>
      </c>
      <c r="H32" s="5">
        <v>26</v>
      </c>
      <c r="I32" s="6">
        <v>115</v>
      </c>
      <c r="J32" s="7">
        <f>ROUND(I32*[1]Parametros!$B$10,-3)</f>
        <v>410000</v>
      </c>
      <c r="K32" s="8">
        <v>0</v>
      </c>
      <c r="L32" s="9" t="str">
        <f>IF(MIN(N(INDEX([1]Parametros!B$16:B$20,MATCH($C32,[1]Parametros!$A$16:$A$20,0)))*$K32,N('[1]ATS USA'!K32))&lt;=0,"",MIN(N(INDEX([1]Parametros!B$16:B$20,MATCH($C32,[1]Parametros!$A$16:$A$20,0)))*$K32,N('[1]ATS USA'!K32)))</f>
        <v/>
      </c>
      <c r="M32" s="9" t="str">
        <f>IF(MIN(N(INDEX([1]Parametros!C$16:C$20,MATCH($C32,[1]Parametros!$A$16:$A$20,0)))*$K32,N('[1]ATS USA'!L32))&lt;=0,"",MIN(N(INDEX([1]Parametros!C$16:C$20,MATCH($C32,[1]Parametros!$A$16:$A$20,0)))*$K32,N('[1]ATS USA'!L32)))</f>
        <v/>
      </c>
      <c r="N32" s="9" t="str">
        <f>IF(MIN(N(INDEX([1]Parametros!D$16:D$20,MATCH($C32,[1]Parametros!$A$16:$A$20,0)))*$K32,N('[1]ATS USA'!M32))&lt;=0,"",MIN(N(INDEX([1]Parametros!D$16:D$20,MATCH($C32,[1]Parametros!$A$16:$A$20,0)))*$K32,N('[1]ATS USA'!M32)))</f>
        <v/>
      </c>
      <c r="O32" s="9" t="str">
        <f>IF(MIN(N(INDEX([1]Parametros!E$16:E$20,MATCH($C32,[1]Parametros!$A$16:$A$20,0)))*$K32,N('[1]ATS USA'!N32))&lt;=0,"",MIN(N(INDEX([1]Parametros!E$16:E$20,MATCH($C32,[1]Parametros!$A$16:$A$20,0)))*$K32,N('[1]ATS USA'!N32)))</f>
        <v/>
      </c>
      <c r="P32" s="10" t="str">
        <f>IF(MIN(N(INDEX([1]Parametros!F$16:F$20,MATCH($C32,[1]Parametros!$A$16:$A$20,0)))*$K32,N('[1]ATS USA'!O32))&lt;=0,"",MIN(N(INDEX([1]Parametros!F$16:F$20,MATCH($C32,[1]Parametros!$A$16:$A$20,0)))*$K32,N('[1]ATS USA'!O32)))</f>
        <v/>
      </c>
      <c r="Q32" s="10" t="str">
        <f>IF(MIN(N(INDEX([1]Parametros!G$16:G$20,MATCH($C32,[1]Parametros!$A$16:$A$20,0)))*$K32,N('[1]ATS USA'!P32))&lt;=0,"",MIN(N(INDEX([1]Parametros!G$16:G$20,MATCH($C32,[1]Parametros!$A$16:$A$20,0)))*$K32,N('[1]ATS USA'!P32)))</f>
        <v/>
      </c>
      <c r="R32" s="10" t="str">
        <f>IF(MIN(N(INDEX([1]Parametros!H$16:H$20,MATCH($C32,[1]Parametros!$A$16:$A$20,0)))*$K32,N('[1]ATS USA'!Q32))&lt;=0,"",MIN(N(INDEX([1]Parametros!H$16:H$20,MATCH($C32,[1]Parametros!$A$16:$A$20,0)))*$K32,N('[1]ATS USA'!Q32)))</f>
        <v/>
      </c>
      <c r="S32" s="10" t="str">
        <f>IF(MIN(N(INDEX([1]Parametros!I$16:I$20,MATCH($C32,[1]Parametros!$A$16:$A$20,0)))*$K32,N('[1]ATS USA'!R32))&lt;=0,"",MIN(N(INDEX([1]Parametros!I$16:I$20,MATCH($C32,[1]Parametros!$A$16:$A$20,0)))*$K32,N('[1]ATS USA'!R32)))</f>
        <v/>
      </c>
      <c r="T32" s="10" t="str">
        <f>IF(MIN(N(INDEX([1]Parametros!J$16:J$20,MATCH($C32,[1]Parametros!$A$16:$A$20,0)))*$K32,N('[1]ATS USA'!S32))&lt;=0,"",MIN(N(INDEX([1]Parametros!J$16:J$20,MATCH($C32,[1]Parametros!$A$16:$A$20,0)))*$K32,N('[1]ATS USA'!S32)))</f>
        <v/>
      </c>
      <c r="U32" s="10" t="str">
        <f>IF(MIN(N(INDEX([1]Parametros!K$16:K$20,MATCH($C32,[1]Parametros!$A$16:$A$20,0)))*$K32,N('[1]ATS USA'!T32))&lt;=0,"",MIN(N(INDEX([1]Parametros!K$16:K$20,MATCH($C32,[1]Parametros!$A$16:$A$20,0)))*$K32,N('[1]ATS USA'!T32)))</f>
        <v/>
      </c>
      <c r="V32" s="10" t="str">
        <f>IF(MIN(N(INDEX([1]Parametros!L$16:L$20,MATCH($C32,[1]Parametros!$A$16:$A$20,0)))*$K32,N('[1]ATS USA'!U32))&lt;=0,"",MIN(N(INDEX([1]Parametros!L$16:L$20,MATCH($C32,[1]Parametros!$A$16:$A$20,0)))*$K32,N('[1]ATS USA'!U32)))</f>
        <v/>
      </c>
      <c r="W32" s="9" t="str">
        <f>IF(MIN(N(INDEX([1]Parametros!M$16:M$20,MATCH($C32,[1]Parametros!$A$16:$A$20,0)))*$K32,N('[1]ATS USA'!V32))&lt;=0,"",MIN(N(INDEX([1]Parametros!M$16:M$20,MATCH($C32,[1]Parametros!$A$16:$A$20,0)))*$K32,N('[1]ATS USA'!V32)))</f>
        <v/>
      </c>
      <c r="X32" s="10" t="str">
        <f>IF(MIN(N(INDEX([1]Parametros!N$16:N$20,MATCH($C32,[1]Parametros!$A$16:$A$20,0)))*$K32,N('[1]ATS USA'!W32))&lt;=0,"",MIN(N(INDEX([1]Parametros!N$16:N$20,MATCH($C32,[1]Parametros!$A$16:$A$20,0)))*$K32,N('[1]ATS USA'!W32)))</f>
        <v/>
      </c>
      <c r="Y32" s="9" t="str">
        <f>IF(MIN(N(INDEX([1]Parametros!O$16:O$20,MATCH($C32,[1]Parametros!$A$16:$A$20,0)))*$K32,N('[1]ATS USA'!X32))&lt;=0,"",MIN(N(INDEX([1]Parametros!O$16:O$20,MATCH($C32,[1]Parametros!$A$16:$A$20,0)))*$K32,N('[1]ATS USA'!X32)))</f>
        <v/>
      </c>
      <c r="Z32" s="9" t="str">
        <f>IF(MIN(N(INDEX([1]Parametros!P$16:P$20,MATCH($C32,[1]Parametros!$A$16:$A$20,0)))*$K32,N('[1]ATS USA'!Y32))&lt;=0,"",MIN(N(INDEX([1]Parametros!P$16:P$20,MATCH($C32,[1]Parametros!$A$16:$A$20,0)))*$K32,N('[1]ATS USA'!Y32)))</f>
        <v/>
      </c>
      <c r="AA32" s="9" t="str">
        <f>IF(MIN(N(INDEX([1]Parametros!Q$16:Q$20,MATCH($C32,[1]Parametros!$A$16:$A$20,0)))*$K32,N('[1]ATS USA'!Z32))&lt;=0,"",MIN(N(INDEX([1]Parametros!Q$16:Q$20,MATCH($C32,[1]Parametros!$A$16:$A$20,0)))*$K32,N('[1]ATS USA'!Z32)))</f>
        <v/>
      </c>
      <c r="AB32" s="9" t="str">
        <f>IF(MIN(N(INDEX([1]Parametros!R$16:R$20,MATCH($C32,[1]Parametros!$A$16:$A$20,0)))*$K32,N('[1]ATS USA'!AA32))&lt;=0,"",MIN(N(INDEX([1]Parametros!R$16:R$20,MATCH($C32,[1]Parametros!$A$16:$A$20,0)))*$K32,N('[1]ATS USA'!AA32)))</f>
        <v/>
      </c>
      <c r="AC32" s="9" t="str">
        <f>IF(MIN(N(INDEX([1]Parametros!S$16:S$20,MATCH($C32,[1]Parametros!$A$16:$A$20,0)))*$K32,N('[1]ATS USA'!AB32))&lt;=0,"",MIN(N(INDEX([1]Parametros!S$16:S$20,MATCH($C32,[1]Parametros!$A$16:$A$20,0)))*$K32,N('[1]ATS USA'!AB32)))</f>
        <v/>
      </c>
      <c r="AD32" s="9" t="str">
        <f>IF(MIN(N(INDEX([1]Parametros!T$16:T$20,MATCH($C32,[1]Parametros!$A$16:$A$20,0)))*$K32,N('[1]ATS USA'!AC32))&lt;=0,"",MIN(N(INDEX([1]Parametros!T$16:T$20,MATCH($C32,[1]Parametros!$A$16:$A$20,0)))*$K32,N('[1]ATS USA'!AC32)))</f>
        <v/>
      </c>
      <c r="AE32" s="9" t="str">
        <f>IF(MIN(N(INDEX([1]Parametros!U$16:U$20,MATCH($C32,[1]Parametros!$A$16:$A$20,0)))*$K32,N('[1]ATS USA'!AD32))&lt;=0,"",MIN(N(INDEX([1]Parametros!U$16:U$20,MATCH($C32,[1]Parametros!$A$16:$A$20,0)))*$K32,N('[1]ATS USA'!AD32)))</f>
        <v/>
      </c>
      <c r="AF32" s="11">
        <f t="shared" si="0"/>
        <v>0</v>
      </c>
      <c r="AG32" s="12" t="str">
        <f t="shared" si="1"/>
        <v>OK</v>
      </c>
      <c r="AH32" s="6">
        <f t="shared" si="2"/>
        <v>0</v>
      </c>
      <c r="AI32" s="9">
        <f t="shared" si="3"/>
        <v>0</v>
      </c>
      <c r="AJ32" s="13">
        <f>IF(LEFT($A32,8)="Tránsito",IFERROR(_xlfn.XLOOKUP(--$E32,'[1]Reserva Territorios'!$C:$C,'[1]Reserva Territorios'!$J:$J),0),0)</f>
        <v>0</v>
      </c>
      <c r="AK32" s="13">
        <f t="shared" si="4"/>
        <v>0</v>
      </c>
    </row>
    <row r="33" spans="1:37" ht="48.95" customHeight="1" x14ac:dyDescent="0.25">
      <c r="A33" s="3" t="s">
        <v>37</v>
      </c>
      <c r="B33" s="4" t="s">
        <v>38</v>
      </c>
      <c r="C33" s="4" t="s">
        <v>135</v>
      </c>
      <c r="D33" s="4" t="s">
        <v>152</v>
      </c>
      <c r="E33" s="4" t="s">
        <v>153</v>
      </c>
      <c r="F33" s="4" t="s">
        <v>154</v>
      </c>
      <c r="G33" s="4" t="s">
        <v>155</v>
      </c>
      <c r="H33" s="5">
        <v>35.5</v>
      </c>
      <c r="I33" s="6">
        <v>140</v>
      </c>
      <c r="J33" s="7">
        <f>ROUND(I33*[1]Parametros!$B$10,-3)</f>
        <v>500000</v>
      </c>
      <c r="K33" s="8">
        <v>2</v>
      </c>
      <c r="L33" s="9" t="str">
        <f>IF(MIN(N(INDEX([1]Parametros!B$16:B$20,MATCH($C33,[1]Parametros!$A$16:$A$20,0)))*$K33,N('[1]ATS USA'!K33))&lt;=0,"",MIN(N(INDEX([1]Parametros!B$16:B$20,MATCH($C33,[1]Parametros!$A$16:$A$20,0)))*$K33,N('[1]ATS USA'!K33)))</f>
        <v/>
      </c>
      <c r="M33" s="9" t="str">
        <f>IF(MIN(N(INDEX([1]Parametros!C$16:C$20,MATCH($C33,[1]Parametros!$A$16:$A$20,0)))*$K33,N('[1]ATS USA'!L33))&lt;=0,"",MIN(N(INDEX([1]Parametros!C$16:C$20,MATCH($C33,[1]Parametros!$A$16:$A$20,0)))*$K33,N('[1]ATS USA'!L33)))</f>
        <v/>
      </c>
      <c r="N33" s="9" t="str">
        <f>IF(MIN(N(INDEX([1]Parametros!D$16:D$20,MATCH($C33,[1]Parametros!$A$16:$A$20,0)))*$K33,N('[1]ATS USA'!M33))&lt;=0,"",MIN(N(INDEX([1]Parametros!D$16:D$20,MATCH($C33,[1]Parametros!$A$16:$A$20,0)))*$K33,N('[1]ATS USA'!M33)))</f>
        <v/>
      </c>
      <c r="O33" s="9" t="str">
        <f>IF(MIN(N(INDEX([1]Parametros!E$16:E$20,MATCH($C33,[1]Parametros!$A$16:$A$20,0)))*$K33,N('[1]ATS USA'!N33))&lt;=0,"",MIN(N(INDEX([1]Parametros!E$16:E$20,MATCH($C33,[1]Parametros!$A$16:$A$20,0)))*$K33,N('[1]ATS USA'!N33)))</f>
        <v/>
      </c>
      <c r="P33" s="9" t="str">
        <f>IF(MIN(N(INDEX([1]Parametros!F$16:F$20,MATCH($C33,[1]Parametros!$A$16:$A$20,0)))*$K33,N('[1]ATS USA'!O33))&lt;=0,"",MIN(N(INDEX([1]Parametros!F$16:F$20,MATCH($C33,[1]Parametros!$A$16:$A$20,0)))*$K33,N('[1]ATS USA'!O33)))</f>
        <v/>
      </c>
      <c r="Q33" s="10">
        <f>IF(MIN(N(INDEX([1]Parametros!G$16:G$20,MATCH($C33,[1]Parametros!$A$16:$A$20,0)))*$K33,N('[1]ATS USA'!P33))&lt;=0,"",MIN(N(INDEX([1]Parametros!G$16:G$20,MATCH($C33,[1]Parametros!$A$16:$A$20,0)))*$K33,N('[1]ATS USA'!P33)))</f>
        <v>2</v>
      </c>
      <c r="R33" s="10">
        <f>IF(MIN(N(INDEX([1]Parametros!H$16:H$20,MATCH($C33,[1]Parametros!$A$16:$A$20,0)))*$K33,N('[1]ATS USA'!Q33))&lt;=0,"",MIN(N(INDEX([1]Parametros!H$16:H$20,MATCH($C33,[1]Parametros!$A$16:$A$20,0)))*$K33,N('[1]ATS USA'!Q33)))</f>
        <v>2</v>
      </c>
      <c r="S33" s="10">
        <f>IF(MIN(N(INDEX([1]Parametros!I$16:I$20,MATCH($C33,[1]Parametros!$A$16:$A$20,0)))*$K33,N('[1]ATS USA'!R33))&lt;=0,"",MIN(N(INDEX([1]Parametros!I$16:I$20,MATCH($C33,[1]Parametros!$A$16:$A$20,0)))*$K33,N('[1]ATS USA'!R33)))</f>
        <v>4</v>
      </c>
      <c r="T33" s="10">
        <f>IF(MIN(N(INDEX([1]Parametros!J$16:J$20,MATCH($C33,[1]Parametros!$A$16:$A$20,0)))*$K33,N('[1]ATS USA'!S33))&lt;=0,"",MIN(N(INDEX([1]Parametros!J$16:J$20,MATCH($C33,[1]Parametros!$A$16:$A$20,0)))*$K33,N('[1]ATS USA'!S33)))</f>
        <v>6</v>
      </c>
      <c r="U33" s="10">
        <f>IF(MIN(N(INDEX([1]Parametros!K$16:K$20,MATCH($C33,[1]Parametros!$A$16:$A$20,0)))*$K33,N('[1]ATS USA'!T33))&lt;=0,"",MIN(N(INDEX([1]Parametros!K$16:K$20,MATCH($C33,[1]Parametros!$A$16:$A$20,0)))*$K33,N('[1]ATS USA'!T33)))</f>
        <v>4</v>
      </c>
      <c r="V33" s="10">
        <f>IF(MIN(N(INDEX([1]Parametros!L$16:L$20,MATCH($C33,[1]Parametros!$A$16:$A$20,0)))*$K33,N('[1]ATS USA'!U33))&lt;=0,"",MIN(N(INDEX([1]Parametros!L$16:L$20,MATCH($C33,[1]Parametros!$A$16:$A$20,0)))*$K33,N('[1]ATS USA'!U33)))</f>
        <v>2</v>
      </c>
      <c r="W33" s="9">
        <f>IF(MIN(N(INDEX([1]Parametros!M$16:M$20,MATCH($C33,[1]Parametros!$A$16:$A$20,0)))*$K33,N('[1]ATS USA'!V33))&lt;=0,"",MIN(N(INDEX([1]Parametros!M$16:M$20,MATCH($C33,[1]Parametros!$A$16:$A$20,0)))*$K33,N('[1]ATS USA'!V33)))</f>
        <v>2</v>
      </c>
      <c r="X33" s="10" t="str">
        <f>IF(MIN(N(INDEX([1]Parametros!N$16:N$20,MATCH($C33,[1]Parametros!$A$16:$A$20,0)))*$K33,N('[1]ATS USA'!W33))&lt;=0,"",MIN(N(INDEX([1]Parametros!N$16:N$20,MATCH($C33,[1]Parametros!$A$16:$A$20,0)))*$K33,N('[1]ATS USA'!W33)))</f>
        <v/>
      </c>
      <c r="Y33" s="9" t="str">
        <f>IF(MIN(N(INDEX([1]Parametros!O$16:O$20,MATCH($C33,[1]Parametros!$A$16:$A$20,0)))*$K33,N('[1]ATS USA'!X33))&lt;=0,"",MIN(N(INDEX([1]Parametros!O$16:O$20,MATCH($C33,[1]Parametros!$A$16:$A$20,0)))*$K33,N('[1]ATS USA'!X33)))</f>
        <v/>
      </c>
      <c r="Z33" s="9" t="str">
        <f>IF(MIN(N(INDEX([1]Parametros!P$16:P$20,MATCH($C33,[1]Parametros!$A$16:$A$20,0)))*$K33,N('[1]ATS USA'!Y33))&lt;=0,"",MIN(N(INDEX([1]Parametros!P$16:P$20,MATCH($C33,[1]Parametros!$A$16:$A$20,0)))*$K33,N('[1]ATS USA'!Y33)))</f>
        <v/>
      </c>
      <c r="AA33" s="9" t="str">
        <f>IF(MIN(N(INDEX([1]Parametros!Q$16:Q$20,MATCH($C33,[1]Parametros!$A$16:$A$20,0)))*$K33,N('[1]ATS USA'!Z33))&lt;=0,"",MIN(N(INDEX([1]Parametros!Q$16:Q$20,MATCH($C33,[1]Parametros!$A$16:$A$20,0)))*$K33,N('[1]ATS USA'!Z33)))</f>
        <v/>
      </c>
      <c r="AB33" s="9" t="str">
        <f>IF(MIN(N(INDEX([1]Parametros!R$16:R$20,MATCH($C33,[1]Parametros!$A$16:$A$20,0)))*$K33,N('[1]ATS USA'!AA33))&lt;=0,"",MIN(N(INDEX([1]Parametros!R$16:R$20,MATCH($C33,[1]Parametros!$A$16:$A$20,0)))*$K33,N('[1]ATS USA'!AA33)))</f>
        <v/>
      </c>
      <c r="AC33" s="9" t="str">
        <f>IF(MIN(N(INDEX([1]Parametros!S$16:S$20,MATCH($C33,[1]Parametros!$A$16:$A$20,0)))*$K33,N('[1]ATS USA'!AB33))&lt;=0,"",MIN(N(INDEX([1]Parametros!S$16:S$20,MATCH($C33,[1]Parametros!$A$16:$A$20,0)))*$K33,N('[1]ATS USA'!AB33)))</f>
        <v/>
      </c>
      <c r="AD33" s="9" t="str">
        <f>IF(MIN(N(INDEX([1]Parametros!T$16:T$20,MATCH($C33,[1]Parametros!$A$16:$A$20,0)))*$K33,N('[1]ATS USA'!AC33))&lt;=0,"",MIN(N(INDEX([1]Parametros!T$16:T$20,MATCH($C33,[1]Parametros!$A$16:$A$20,0)))*$K33,N('[1]ATS USA'!AC33)))</f>
        <v/>
      </c>
      <c r="AE33" s="9" t="str">
        <f>IF(MIN(N(INDEX([1]Parametros!U$16:U$20,MATCH($C33,[1]Parametros!$A$16:$A$20,0)))*$K33,N('[1]ATS USA'!AD33))&lt;=0,"",MIN(N(INDEX([1]Parametros!U$16:U$20,MATCH($C33,[1]Parametros!$A$16:$A$20,0)))*$K33,N('[1]ATS USA'!AD33)))</f>
        <v/>
      </c>
      <c r="AF33" s="11">
        <f t="shared" si="0"/>
        <v>22</v>
      </c>
      <c r="AG33" s="12" t="str">
        <f t="shared" si="1"/>
        <v>AJUSTAR</v>
      </c>
      <c r="AH33" s="6">
        <f t="shared" si="2"/>
        <v>781</v>
      </c>
      <c r="AI33" s="9">
        <f t="shared" si="3"/>
        <v>2</v>
      </c>
      <c r="AJ33" s="13">
        <f>IF(LEFT($A33,8)="Tránsito",IFERROR(_xlfn.XLOOKUP(--$E33,'[1]Reserva Territorios'!$C:$C,'[1]Reserva Territorios'!$J:$J),0),0)</f>
        <v>0</v>
      </c>
      <c r="AK33" s="13">
        <f t="shared" si="4"/>
        <v>22</v>
      </c>
    </row>
    <row r="34" spans="1:37" ht="48.95" hidden="1" customHeight="1" x14ac:dyDescent="0.25">
      <c r="A34" s="3" t="s">
        <v>37</v>
      </c>
      <c r="B34" s="4" t="s">
        <v>38</v>
      </c>
      <c r="C34" s="4" t="s">
        <v>135</v>
      </c>
      <c r="D34" s="4" t="s">
        <v>152</v>
      </c>
      <c r="E34" s="4" t="s">
        <v>156</v>
      </c>
      <c r="F34" s="4" t="s">
        <v>157</v>
      </c>
      <c r="G34" s="4" t="s">
        <v>158</v>
      </c>
      <c r="H34" s="5">
        <v>35.5</v>
      </c>
      <c r="I34" s="6">
        <v>140</v>
      </c>
      <c r="J34" s="7">
        <f>ROUND(I34*[1]Parametros!$B$10,-3)</f>
        <v>500000</v>
      </c>
      <c r="K34" s="8">
        <v>0</v>
      </c>
      <c r="L34" s="9" t="str">
        <f>IF(MIN(N(INDEX([1]Parametros!B$16:B$20,MATCH($C34,[1]Parametros!$A$16:$A$20,0)))*$K34,N('[1]ATS USA'!K34))&lt;=0,"",MIN(N(INDEX([1]Parametros!B$16:B$20,MATCH($C34,[1]Parametros!$A$16:$A$20,0)))*$K34,N('[1]ATS USA'!K34)))</f>
        <v/>
      </c>
      <c r="M34" s="9" t="str">
        <f>IF(MIN(N(INDEX([1]Parametros!C$16:C$20,MATCH($C34,[1]Parametros!$A$16:$A$20,0)))*$K34,N('[1]ATS USA'!L34))&lt;=0,"",MIN(N(INDEX([1]Parametros!C$16:C$20,MATCH($C34,[1]Parametros!$A$16:$A$20,0)))*$K34,N('[1]ATS USA'!L34)))</f>
        <v/>
      </c>
      <c r="N34" s="9" t="str">
        <f>IF(MIN(N(INDEX([1]Parametros!D$16:D$20,MATCH($C34,[1]Parametros!$A$16:$A$20,0)))*$K34,N('[1]ATS USA'!M34))&lt;=0,"",MIN(N(INDEX([1]Parametros!D$16:D$20,MATCH($C34,[1]Parametros!$A$16:$A$20,0)))*$K34,N('[1]ATS USA'!M34)))</f>
        <v/>
      </c>
      <c r="O34" s="9" t="str">
        <f>IF(MIN(N(INDEX([1]Parametros!E$16:E$20,MATCH($C34,[1]Parametros!$A$16:$A$20,0)))*$K34,N('[1]ATS USA'!N34))&lt;=0,"",MIN(N(INDEX([1]Parametros!E$16:E$20,MATCH($C34,[1]Parametros!$A$16:$A$20,0)))*$K34,N('[1]ATS USA'!N34)))</f>
        <v/>
      </c>
      <c r="P34" s="10" t="str">
        <f>IF(MIN(N(INDEX([1]Parametros!F$16:F$20,MATCH($C34,[1]Parametros!$A$16:$A$20,0)))*$K34,N('[1]ATS USA'!O34))&lt;=0,"",MIN(N(INDEX([1]Parametros!F$16:F$20,MATCH($C34,[1]Parametros!$A$16:$A$20,0)))*$K34,N('[1]ATS USA'!O34)))</f>
        <v/>
      </c>
      <c r="Q34" s="9" t="str">
        <f>IF(MIN(N(INDEX([1]Parametros!G$16:G$20,MATCH($C34,[1]Parametros!$A$16:$A$20,0)))*$K34,N('[1]ATS USA'!P34))&lt;=0,"",MIN(N(INDEX([1]Parametros!G$16:G$20,MATCH($C34,[1]Parametros!$A$16:$A$20,0)))*$K34,N('[1]ATS USA'!P34)))</f>
        <v/>
      </c>
      <c r="R34" s="10" t="str">
        <f>IF(MIN(N(INDEX([1]Parametros!H$16:H$20,MATCH($C34,[1]Parametros!$A$16:$A$20,0)))*$K34,N('[1]ATS USA'!Q34))&lt;=0,"",MIN(N(INDEX([1]Parametros!H$16:H$20,MATCH($C34,[1]Parametros!$A$16:$A$20,0)))*$K34,N('[1]ATS USA'!Q34)))</f>
        <v/>
      </c>
      <c r="S34" s="10" t="str">
        <f>IF(MIN(N(INDEX([1]Parametros!I$16:I$20,MATCH($C34,[1]Parametros!$A$16:$A$20,0)))*$K34,N('[1]ATS USA'!R34))&lt;=0,"",MIN(N(INDEX([1]Parametros!I$16:I$20,MATCH($C34,[1]Parametros!$A$16:$A$20,0)))*$K34,N('[1]ATS USA'!R34)))</f>
        <v/>
      </c>
      <c r="T34" s="10" t="str">
        <f>IF(MIN(N(INDEX([1]Parametros!J$16:J$20,MATCH($C34,[1]Parametros!$A$16:$A$20,0)))*$K34,N('[1]ATS USA'!S34))&lt;=0,"",MIN(N(INDEX([1]Parametros!J$16:J$20,MATCH($C34,[1]Parametros!$A$16:$A$20,0)))*$K34,N('[1]ATS USA'!S34)))</f>
        <v/>
      </c>
      <c r="U34" s="10" t="str">
        <f>IF(MIN(N(INDEX([1]Parametros!K$16:K$20,MATCH($C34,[1]Parametros!$A$16:$A$20,0)))*$K34,N('[1]ATS USA'!T34))&lt;=0,"",MIN(N(INDEX([1]Parametros!K$16:K$20,MATCH($C34,[1]Parametros!$A$16:$A$20,0)))*$K34,N('[1]ATS USA'!T34)))</f>
        <v/>
      </c>
      <c r="V34" s="10" t="str">
        <f>IF(MIN(N(INDEX([1]Parametros!L$16:L$20,MATCH($C34,[1]Parametros!$A$16:$A$20,0)))*$K34,N('[1]ATS USA'!U34))&lt;=0,"",MIN(N(INDEX([1]Parametros!L$16:L$20,MATCH($C34,[1]Parametros!$A$16:$A$20,0)))*$K34,N('[1]ATS USA'!U34)))</f>
        <v/>
      </c>
      <c r="W34" s="9" t="str">
        <f>IF(MIN(N(INDEX([1]Parametros!M$16:M$20,MATCH($C34,[1]Parametros!$A$16:$A$20,0)))*$K34,N('[1]ATS USA'!V34))&lt;=0,"",MIN(N(INDEX([1]Parametros!M$16:M$20,MATCH($C34,[1]Parametros!$A$16:$A$20,0)))*$K34,N('[1]ATS USA'!V34)))</f>
        <v/>
      </c>
      <c r="X34" s="10" t="str">
        <f>IF(MIN(N(INDEX([1]Parametros!N$16:N$20,MATCH($C34,[1]Parametros!$A$16:$A$20,0)))*$K34,N('[1]ATS USA'!W34))&lt;=0,"",MIN(N(INDEX([1]Parametros!N$16:N$20,MATCH($C34,[1]Parametros!$A$16:$A$20,0)))*$K34,N('[1]ATS USA'!W34)))</f>
        <v/>
      </c>
      <c r="Y34" s="9" t="str">
        <f>IF(MIN(N(INDEX([1]Parametros!O$16:O$20,MATCH($C34,[1]Parametros!$A$16:$A$20,0)))*$K34,N('[1]ATS USA'!X34))&lt;=0,"",MIN(N(INDEX([1]Parametros!O$16:O$20,MATCH($C34,[1]Parametros!$A$16:$A$20,0)))*$K34,N('[1]ATS USA'!X34)))</f>
        <v/>
      </c>
      <c r="Z34" s="9" t="str">
        <f>IF(MIN(N(INDEX([1]Parametros!P$16:P$20,MATCH($C34,[1]Parametros!$A$16:$A$20,0)))*$K34,N('[1]ATS USA'!Y34))&lt;=0,"",MIN(N(INDEX([1]Parametros!P$16:P$20,MATCH($C34,[1]Parametros!$A$16:$A$20,0)))*$K34,N('[1]ATS USA'!Y34)))</f>
        <v/>
      </c>
      <c r="AA34" s="9" t="str">
        <f>IF(MIN(N(INDEX([1]Parametros!Q$16:Q$20,MATCH($C34,[1]Parametros!$A$16:$A$20,0)))*$K34,N('[1]ATS USA'!Z34))&lt;=0,"",MIN(N(INDEX([1]Parametros!Q$16:Q$20,MATCH($C34,[1]Parametros!$A$16:$A$20,0)))*$K34,N('[1]ATS USA'!Z34)))</f>
        <v/>
      </c>
      <c r="AB34" s="9" t="str">
        <f>IF(MIN(N(INDEX([1]Parametros!R$16:R$20,MATCH($C34,[1]Parametros!$A$16:$A$20,0)))*$K34,N('[1]ATS USA'!AA34))&lt;=0,"",MIN(N(INDEX([1]Parametros!R$16:R$20,MATCH($C34,[1]Parametros!$A$16:$A$20,0)))*$K34,N('[1]ATS USA'!AA34)))</f>
        <v/>
      </c>
      <c r="AC34" s="9" t="str">
        <f>IF(MIN(N(INDEX([1]Parametros!S$16:S$20,MATCH($C34,[1]Parametros!$A$16:$A$20,0)))*$K34,N('[1]ATS USA'!AB34))&lt;=0,"",MIN(N(INDEX([1]Parametros!S$16:S$20,MATCH($C34,[1]Parametros!$A$16:$A$20,0)))*$K34,N('[1]ATS USA'!AB34)))</f>
        <v/>
      </c>
      <c r="AD34" s="9" t="str">
        <f>IF(MIN(N(INDEX([1]Parametros!T$16:T$20,MATCH($C34,[1]Parametros!$A$16:$A$20,0)))*$K34,N('[1]ATS USA'!AC34))&lt;=0,"",MIN(N(INDEX([1]Parametros!T$16:T$20,MATCH($C34,[1]Parametros!$A$16:$A$20,0)))*$K34,N('[1]ATS USA'!AC34)))</f>
        <v/>
      </c>
      <c r="AE34" s="9" t="str">
        <f>IF(MIN(N(INDEX([1]Parametros!U$16:U$20,MATCH($C34,[1]Parametros!$A$16:$A$20,0)))*$K34,N('[1]ATS USA'!AD34))&lt;=0,"",MIN(N(INDEX([1]Parametros!U$16:U$20,MATCH($C34,[1]Parametros!$A$16:$A$20,0)))*$K34,N('[1]ATS USA'!AD34)))</f>
        <v/>
      </c>
      <c r="AF34" s="11">
        <f t="shared" ref="AF34:AF65" si="5">SUM(L34:AE34)</f>
        <v>0</v>
      </c>
      <c r="AG34" s="12" t="str">
        <f t="shared" si="1"/>
        <v>OK</v>
      </c>
      <c r="AH34" s="6">
        <f t="shared" si="2"/>
        <v>0</v>
      </c>
      <c r="AI34" s="9">
        <f t="shared" si="3"/>
        <v>0</v>
      </c>
      <c r="AJ34" s="13">
        <f>IF(LEFT($A34,8)="Tránsito",IFERROR(_xlfn.XLOOKUP(--$E34,'[1]Reserva Territorios'!$C:$C,'[1]Reserva Territorios'!$J:$J),0),0)</f>
        <v>0</v>
      </c>
      <c r="AK34" s="13">
        <f t="shared" si="4"/>
        <v>0</v>
      </c>
    </row>
    <row r="35" spans="1:37" ht="48.95" customHeight="1" x14ac:dyDescent="0.25">
      <c r="A35" s="3" t="s">
        <v>37</v>
      </c>
      <c r="B35" s="4" t="s">
        <v>38</v>
      </c>
      <c r="C35" s="4" t="s">
        <v>135</v>
      </c>
      <c r="D35" s="4" t="s">
        <v>40</v>
      </c>
      <c r="E35" s="4" t="s">
        <v>159</v>
      </c>
      <c r="F35" s="4" t="s">
        <v>160</v>
      </c>
      <c r="G35" s="4" t="s">
        <v>161</v>
      </c>
      <c r="H35" s="5">
        <v>35</v>
      </c>
      <c r="I35" s="6">
        <v>135</v>
      </c>
      <c r="J35" s="7">
        <f>ROUND(I35*[1]Parametros!$B$10,-3)</f>
        <v>482000</v>
      </c>
      <c r="K35" s="8">
        <v>1</v>
      </c>
      <c r="L35" s="9" t="str">
        <f>IF(MIN(N(INDEX([1]Parametros!B$16:B$20,MATCH($C35,[1]Parametros!$A$16:$A$20,0)))*$K35,N('[1]ATS USA'!K35))&lt;=0,"",MIN(N(INDEX([1]Parametros!B$16:B$20,MATCH($C35,[1]Parametros!$A$16:$A$20,0)))*$K35,N('[1]ATS USA'!K35)))</f>
        <v/>
      </c>
      <c r="M35" s="9" t="str">
        <f>IF(MIN(N(INDEX([1]Parametros!C$16:C$20,MATCH($C35,[1]Parametros!$A$16:$A$20,0)))*$K35,N('[1]ATS USA'!L35))&lt;=0,"",MIN(N(INDEX([1]Parametros!C$16:C$20,MATCH($C35,[1]Parametros!$A$16:$A$20,0)))*$K35,N('[1]ATS USA'!L35)))</f>
        <v/>
      </c>
      <c r="N35" s="9" t="str">
        <f>IF(MIN(N(INDEX([1]Parametros!D$16:D$20,MATCH($C35,[1]Parametros!$A$16:$A$20,0)))*$K35,N('[1]ATS USA'!M35))&lt;=0,"",MIN(N(INDEX([1]Parametros!D$16:D$20,MATCH($C35,[1]Parametros!$A$16:$A$20,0)))*$K35,N('[1]ATS USA'!M35)))</f>
        <v/>
      </c>
      <c r="O35" s="9" t="str">
        <f>IF(MIN(N(INDEX([1]Parametros!E$16:E$20,MATCH($C35,[1]Parametros!$A$16:$A$20,0)))*$K35,N('[1]ATS USA'!N35))&lt;=0,"",MIN(N(INDEX([1]Parametros!E$16:E$20,MATCH($C35,[1]Parametros!$A$16:$A$20,0)))*$K35,N('[1]ATS USA'!N35)))</f>
        <v/>
      </c>
      <c r="P35" s="9" t="str">
        <f>IF(MIN(N(INDEX([1]Parametros!F$16:F$20,MATCH($C35,[1]Parametros!$A$16:$A$20,0)))*$K35,N('[1]ATS USA'!O35))&lt;=0,"",MIN(N(INDEX([1]Parametros!F$16:F$20,MATCH($C35,[1]Parametros!$A$16:$A$20,0)))*$K35,N('[1]ATS USA'!O35)))</f>
        <v/>
      </c>
      <c r="Q35" s="10">
        <f>IF(MIN(N(INDEX([1]Parametros!G$16:G$20,MATCH($C35,[1]Parametros!$A$16:$A$20,0)))*$K35,N('[1]ATS USA'!P35))&lt;=0,"",MIN(N(INDEX([1]Parametros!G$16:G$20,MATCH($C35,[1]Parametros!$A$16:$A$20,0)))*$K35,N('[1]ATS USA'!P35)))</f>
        <v>1</v>
      </c>
      <c r="R35" s="10">
        <f>IF(MIN(N(INDEX([1]Parametros!H$16:H$20,MATCH($C35,[1]Parametros!$A$16:$A$20,0)))*$K35,N('[1]ATS USA'!Q35))&lt;=0,"",MIN(N(INDEX([1]Parametros!H$16:H$20,MATCH($C35,[1]Parametros!$A$16:$A$20,0)))*$K35,N('[1]ATS USA'!Q35)))</f>
        <v>1</v>
      </c>
      <c r="S35" s="10">
        <f>IF(MIN(N(INDEX([1]Parametros!I$16:I$20,MATCH($C35,[1]Parametros!$A$16:$A$20,0)))*$K35,N('[1]ATS USA'!R35))&lt;=0,"",MIN(N(INDEX([1]Parametros!I$16:I$20,MATCH($C35,[1]Parametros!$A$16:$A$20,0)))*$K35,N('[1]ATS USA'!R35)))</f>
        <v>2</v>
      </c>
      <c r="T35" s="10">
        <f>IF(MIN(N(INDEX([1]Parametros!J$16:J$20,MATCH($C35,[1]Parametros!$A$16:$A$20,0)))*$K35,N('[1]ATS USA'!S35))&lt;=0,"",MIN(N(INDEX([1]Parametros!J$16:J$20,MATCH($C35,[1]Parametros!$A$16:$A$20,0)))*$K35,N('[1]ATS USA'!S35)))</f>
        <v>3</v>
      </c>
      <c r="U35" s="10">
        <f>IF(MIN(N(INDEX([1]Parametros!K$16:K$20,MATCH($C35,[1]Parametros!$A$16:$A$20,0)))*$K35,N('[1]ATS USA'!T35))&lt;=0,"",MIN(N(INDEX([1]Parametros!K$16:K$20,MATCH($C35,[1]Parametros!$A$16:$A$20,0)))*$K35,N('[1]ATS USA'!T35)))</f>
        <v>2</v>
      </c>
      <c r="V35" s="10">
        <f>IF(MIN(N(INDEX([1]Parametros!L$16:L$20,MATCH($C35,[1]Parametros!$A$16:$A$20,0)))*$K35,N('[1]ATS USA'!U35))&lt;=0,"",MIN(N(INDEX([1]Parametros!L$16:L$20,MATCH($C35,[1]Parametros!$A$16:$A$20,0)))*$K35,N('[1]ATS USA'!U35)))</f>
        <v>1</v>
      </c>
      <c r="W35" s="9">
        <f>IF(MIN(N(INDEX([1]Parametros!M$16:M$20,MATCH($C35,[1]Parametros!$A$16:$A$20,0)))*$K35,N('[1]ATS USA'!V35))&lt;=0,"",MIN(N(INDEX([1]Parametros!M$16:M$20,MATCH($C35,[1]Parametros!$A$16:$A$20,0)))*$K35,N('[1]ATS USA'!V35)))</f>
        <v>1</v>
      </c>
      <c r="X35" s="10" t="str">
        <f>IF(MIN(N(INDEX([1]Parametros!N$16:N$20,MATCH($C35,[1]Parametros!$A$16:$A$20,0)))*$K35,N('[1]ATS USA'!W35))&lt;=0,"",MIN(N(INDEX([1]Parametros!N$16:N$20,MATCH($C35,[1]Parametros!$A$16:$A$20,0)))*$K35,N('[1]ATS USA'!W35)))</f>
        <v/>
      </c>
      <c r="Y35" s="9" t="str">
        <f>IF(MIN(N(INDEX([1]Parametros!O$16:O$20,MATCH($C35,[1]Parametros!$A$16:$A$20,0)))*$K35,N('[1]ATS USA'!X35))&lt;=0,"",MIN(N(INDEX([1]Parametros!O$16:O$20,MATCH($C35,[1]Parametros!$A$16:$A$20,0)))*$K35,N('[1]ATS USA'!X35)))</f>
        <v/>
      </c>
      <c r="Z35" s="9" t="str">
        <f>IF(MIN(N(INDEX([1]Parametros!P$16:P$20,MATCH($C35,[1]Parametros!$A$16:$A$20,0)))*$K35,N('[1]ATS USA'!Y35))&lt;=0,"",MIN(N(INDEX([1]Parametros!P$16:P$20,MATCH($C35,[1]Parametros!$A$16:$A$20,0)))*$K35,N('[1]ATS USA'!Y35)))</f>
        <v/>
      </c>
      <c r="AA35" s="9" t="str">
        <f>IF(MIN(N(INDEX([1]Parametros!Q$16:Q$20,MATCH($C35,[1]Parametros!$A$16:$A$20,0)))*$K35,N('[1]ATS USA'!Z35))&lt;=0,"",MIN(N(INDEX([1]Parametros!Q$16:Q$20,MATCH($C35,[1]Parametros!$A$16:$A$20,0)))*$K35,N('[1]ATS USA'!Z35)))</f>
        <v/>
      </c>
      <c r="AB35" s="9" t="str">
        <f>IF(MIN(N(INDEX([1]Parametros!R$16:R$20,MATCH($C35,[1]Parametros!$A$16:$A$20,0)))*$K35,N('[1]ATS USA'!AA35))&lt;=0,"",MIN(N(INDEX([1]Parametros!R$16:R$20,MATCH($C35,[1]Parametros!$A$16:$A$20,0)))*$K35,N('[1]ATS USA'!AA35)))</f>
        <v/>
      </c>
      <c r="AC35" s="9" t="str">
        <f>IF(MIN(N(INDEX([1]Parametros!S$16:S$20,MATCH($C35,[1]Parametros!$A$16:$A$20,0)))*$K35,N('[1]ATS USA'!AB35))&lt;=0,"",MIN(N(INDEX([1]Parametros!S$16:S$20,MATCH($C35,[1]Parametros!$A$16:$A$20,0)))*$K35,N('[1]ATS USA'!AB35)))</f>
        <v/>
      </c>
      <c r="AD35" s="9" t="str">
        <f>IF(MIN(N(INDEX([1]Parametros!T$16:T$20,MATCH($C35,[1]Parametros!$A$16:$A$20,0)))*$K35,N('[1]ATS USA'!AC35))&lt;=0,"",MIN(N(INDEX([1]Parametros!T$16:T$20,MATCH($C35,[1]Parametros!$A$16:$A$20,0)))*$K35,N('[1]ATS USA'!AC35)))</f>
        <v/>
      </c>
      <c r="AE35" s="9" t="str">
        <f>IF(MIN(N(INDEX([1]Parametros!U$16:U$20,MATCH($C35,[1]Parametros!$A$16:$A$20,0)))*$K35,N('[1]ATS USA'!AD35))&lt;=0,"",MIN(N(INDEX([1]Parametros!U$16:U$20,MATCH($C35,[1]Parametros!$A$16:$A$20,0)))*$K35,N('[1]ATS USA'!AD35)))</f>
        <v/>
      </c>
      <c r="AF35" s="11">
        <f t="shared" si="5"/>
        <v>11</v>
      </c>
      <c r="AG35" s="12" t="str">
        <f t="shared" si="1"/>
        <v>AJUSTAR</v>
      </c>
      <c r="AH35" s="6">
        <f t="shared" si="2"/>
        <v>385</v>
      </c>
      <c r="AI35" s="9">
        <f t="shared" si="3"/>
        <v>1</v>
      </c>
      <c r="AJ35" s="13">
        <f>IF(LEFT($A35,8)="Tránsito",IFERROR(_xlfn.XLOOKUP(--$E35,'[1]Reserva Territorios'!$C:$C,'[1]Reserva Territorios'!$J:$J),0),0)</f>
        <v>0</v>
      </c>
      <c r="AK35" s="13">
        <f t="shared" si="4"/>
        <v>11</v>
      </c>
    </row>
    <row r="36" spans="1:37" ht="48.95" customHeight="1" x14ac:dyDescent="0.25">
      <c r="A36" s="3" t="s">
        <v>37</v>
      </c>
      <c r="B36" s="4" t="s">
        <v>38</v>
      </c>
      <c r="C36" s="4" t="s">
        <v>135</v>
      </c>
      <c r="D36" s="4" t="s">
        <v>44</v>
      </c>
      <c r="E36" s="4" t="s">
        <v>162</v>
      </c>
      <c r="F36" s="4" t="s">
        <v>163</v>
      </c>
      <c r="G36" s="4" t="s">
        <v>164</v>
      </c>
      <c r="H36" s="5">
        <v>48</v>
      </c>
      <c r="I36" s="6">
        <v>150</v>
      </c>
      <c r="J36" s="7">
        <f>ROUND(I36*[1]Parametros!$B$10,-3)</f>
        <v>535000</v>
      </c>
      <c r="K36" s="8">
        <v>4</v>
      </c>
      <c r="L36" s="9" t="str">
        <f>IF(MIN(N(INDEX([1]Parametros!B$16:B$20,MATCH($C36,[1]Parametros!$A$16:$A$20,0)))*$K36,N('[1]ATS USA'!K36))&lt;=0,"",MIN(N(INDEX([1]Parametros!B$16:B$20,MATCH($C36,[1]Parametros!$A$16:$A$20,0)))*$K36,N('[1]ATS USA'!K36)))</f>
        <v/>
      </c>
      <c r="M36" s="9" t="str">
        <f>IF(MIN(N(INDEX([1]Parametros!C$16:C$20,MATCH($C36,[1]Parametros!$A$16:$A$20,0)))*$K36,N('[1]ATS USA'!L36))&lt;=0,"",MIN(N(INDEX([1]Parametros!C$16:C$20,MATCH($C36,[1]Parametros!$A$16:$A$20,0)))*$K36,N('[1]ATS USA'!L36)))</f>
        <v/>
      </c>
      <c r="N36" s="9" t="str">
        <f>IF(MIN(N(INDEX([1]Parametros!D$16:D$20,MATCH($C36,[1]Parametros!$A$16:$A$20,0)))*$K36,N('[1]ATS USA'!M36))&lt;=0,"",MIN(N(INDEX([1]Parametros!D$16:D$20,MATCH($C36,[1]Parametros!$A$16:$A$20,0)))*$K36,N('[1]ATS USA'!M36)))</f>
        <v/>
      </c>
      <c r="O36" s="9" t="str">
        <f>IF(MIN(N(INDEX([1]Parametros!E$16:E$20,MATCH($C36,[1]Parametros!$A$16:$A$20,0)))*$K36,N('[1]ATS USA'!N36))&lt;=0,"",MIN(N(INDEX([1]Parametros!E$16:E$20,MATCH($C36,[1]Parametros!$A$16:$A$20,0)))*$K36,N('[1]ATS USA'!N36)))</f>
        <v/>
      </c>
      <c r="P36" s="9" t="str">
        <f>IF(MIN(N(INDEX([1]Parametros!F$16:F$20,MATCH($C36,[1]Parametros!$A$16:$A$20,0)))*$K36,N('[1]ATS USA'!O36))&lt;=0,"",MIN(N(INDEX([1]Parametros!F$16:F$20,MATCH($C36,[1]Parametros!$A$16:$A$20,0)))*$K36,N('[1]ATS USA'!O36)))</f>
        <v/>
      </c>
      <c r="Q36" s="9" t="str">
        <f>IF(MIN(N(INDEX([1]Parametros!G$16:G$20,MATCH($C36,[1]Parametros!$A$16:$A$20,0)))*$K36,N('[1]ATS USA'!P36))&lt;=0,"",MIN(N(INDEX([1]Parametros!G$16:G$20,MATCH($C36,[1]Parametros!$A$16:$A$20,0)))*$K36,N('[1]ATS USA'!P36)))</f>
        <v/>
      </c>
      <c r="R36" s="10">
        <f>IF(MIN(N(INDEX([1]Parametros!H$16:H$20,MATCH($C36,[1]Parametros!$A$16:$A$20,0)))*$K36,N('[1]ATS USA'!Q36))&lt;=0,"",MIN(N(INDEX([1]Parametros!H$16:H$20,MATCH($C36,[1]Parametros!$A$16:$A$20,0)))*$K36,N('[1]ATS USA'!Q36)))</f>
        <v>4</v>
      </c>
      <c r="S36" s="10">
        <f>IF(MIN(N(INDEX([1]Parametros!I$16:I$20,MATCH($C36,[1]Parametros!$A$16:$A$20,0)))*$K36,N('[1]ATS USA'!R36))&lt;=0,"",MIN(N(INDEX([1]Parametros!I$16:I$20,MATCH($C36,[1]Parametros!$A$16:$A$20,0)))*$K36,N('[1]ATS USA'!R36)))</f>
        <v>8</v>
      </c>
      <c r="T36" s="10">
        <f>IF(MIN(N(INDEX([1]Parametros!J$16:J$20,MATCH($C36,[1]Parametros!$A$16:$A$20,0)))*$K36,N('[1]ATS USA'!S36))&lt;=0,"",MIN(N(INDEX([1]Parametros!J$16:J$20,MATCH($C36,[1]Parametros!$A$16:$A$20,0)))*$K36,N('[1]ATS USA'!S36)))</f>
        <v>12</v>
      </c>
      <c r="U36" s="10">
        <f>IF(MIN(N(INDEX([1]Parametros!K$16:K$20,MATCH($C36,[1]Parametros!$A$16:$A$20,0)))*$K36,N('[1]ATS USA'!T36))&lt;=0,"",MIN(N(INDEX([1]Parametros!K$16:K$20,MATCH($C36,[1]Parametros!$A$16:$A$20,0)))*$K36,N('[1]ATS USA'!T36)))</f>
        <v>8</v>
      </c>
      <c r="V36" s="10">
        <f>IF(MIN(N(INDEX([1]Parametros!L$16:L$20,MATCH($C36,[1]Parametros!$A$16:$A$20,0)))*$K36,N('[1]ATS USA'!U36))&lt;=0,"",MIN(N(INDEX([1]Parametros!L$16:L$20,MATCH($C36,[1]Parametros!$A$16:$A$20,0)))*$K36,N('[1]ATS USA'!U36)))</f>
        <v>4</v>
      </c>
      <c r="W36" s="9">
        <f>IF(MIN(N(INDEX([1]Parametros!M$16:M$20,MATCH($C36,[1]Parametros!$A$16:$A$20,0)))*$K36,N('[1]ATS USA'!V36))&lt;=0,"",MIN(N(INDEX([1]Parametros!M$16:M$20,MATCH($C36,[1]Parametros!$A$16:$A$20,0)))*$K36,N('[1]ATS USA'!V36)))</f>
        <v>4</v>
      </c>
      <c r="X36" s="10" t="str">
        <f>IF(MIN(N(INDEX([1]Parametros!N$16:N$20,MATCH($C36,[1]Parametros!$A$16:$A$20,0)))*$K36,N('[1]ATS USA'!W36))&lt;=0,"",MIN(N(INDEX([1]Parametros!N$16:N$20,MATCH($C36,[1]Parametros!$A$16:$A$20,0)))*$K36,N('[1]ATS USA'!W36)))</f>
        <v/>
      </c>
      <c r="Y36" s="9" t="str">
        <f>IF(MIN(N(INDEX([1]Parametros!O$16:O$20,MATCH($C36,[1]Parametros!$A$16:$A$20,0)))*$K36,N('[1]ATS USA'!X36))&lt;=0,"",MIN(N(INDEX([1]Parametros!O$16:O$20,MATCH($C36,[1]Parametros!$A$16:$A$20,0)))*$K36,N('[1]ATS USA'!X36)))</f>
        <v/>
      </c>
      <c r="Z36" s="9" t="str">
        <f>IF(MIN(N(INDEX([1]Parametros!P$16:P$20,MATCH($C36,[1]Parametros!$A$16:$A$20,0)))*$K36,N('[1]ATS USA'!Y36))&lt;=0,"",MIN(N(INDEX([1]Parametros!P$16:P$20,MATCH($C36,[1]Parametros!$A$16:$A$20,0)))*$K36,N('[1]ATS USA'!Y36)))</f>
        <v/>
      </c>
      <c r="AA36" s="9" t="str">
        <f>IF(MIN(N(INDEX([1]Parametros!Q$16:Q$20,MATCH($C36,[1]Parametros!$A$16:$A$20,0)))*$K36,N('[1]ATS USA'!Z36))&lt;=0,"",MIN(N(INDEX([1]Parametros!Q$16:Q$20,MATCH($C36,[1]Parametros!$A$16:$A$20,0)))*$K36,N('[1]ATS USA'!Z36)))</f>
        <v/>
      </c>
      <c r="AB36" s="9" t="str">
        <f>IF(MIN(N(INDEX([1]Parametros!R$16:R$20,MATCH($C36,[1]Parametros!$A$16:$A$20,0)))*$K36,N('[1]ATS USA'!AA36))&lt;=0,"",MIN(N(INDEX([1]Parametros!R$16:R$20,MATCH($C36,[1]Parametros!$A$16:$A$20,0)))*$K36,N('[1]ATS USA'!AA36)))</f>
        <v/>
      </c>
      <c r="AC36" s="9" t="str">
        <f>IF(MIN(N(INDEX([1]Parametros!S$16:S$20,MATCH($C36,[1]Parametros!$A$16:$A$20,0)))*$K36,N('[1]ATS USA'!AB36))&lt;=0,"",MIN(N(INDEX([1]Parametros!S$16:S$20,MATCH($C36,[1]Parametros!$A$16:$A$20,0)))*$K36,N('[1]ATS USA'!AB36)))</f>
        <v/>
      </c>
      <c r="AD36" s="9" t="str">
        <f>IF(MIN(N(INDEX([1]Parametros!T$16:T$20,MATCH($C36,[1]Parametros!$A$16:$A$20,0)))*$K36,N('[1]ATS USA'!AC36))&lt;=0,"",MIN(N(INDEX([1]Parametros!T$16:T$20,MATCH($C36,[1]Parametros!$A$16:$A$20,0)))*$K36,N('[1]ATS USA'!AC36)))</f>
        <v/>
      </c>
      <c r="AE36" s="9" t="str">
        <f>IF(MIN(N(INDEX([1]Parametros!U$16:U$20,MATCH($C36,[1]Parametros!$A$16:$A$20,0)))*$K36,N('[1]ATS USA'!AD36))&lt;=0,"",MIN(N(INDEX([1]Parametros!U$16:U$20,MATCH($C36,[1]Parametros!$A$16:$A$20,0)))*$K36,N('[1]ATS USA'!AD36)))</f>
        <v/>
      </c>
      <c r="AF36" s="11">
        <f t="shared" si="5"/>
        <v>40</v>
      </c>
      <c r="AG36" s="12" t="str">
        <f t="shared" si="1"/>
        <v>AJUSTAR</v>
      </c>
      <c r="AH36" s="6">
        <f t="shared" si="2"/>
        <v>1920</v>
      </c>
      <c r="AI36" s="9">
        <f t="shared" si="3"/>
        <v>8</v>
      </c>
      <c r="AJ36" s="13">
        <f>IF(LEFT($A36,8)="Tránsito",IFERROR(_xlfn.XLOOKUP(--$E36,'[1]Reserva Territorios'!$C:$C,'[1]Reserva Territorios'!$J:$J),0),0)</f>
        <v>0</v>
      </c>
      <c r="AK36" s="13">
        <f t="shared" si="4"/>
        <v>40</v>
      </c>
    </row>
    <row r="37" spans="1:37" ht="48.95" customHeight="1" x14ac:dyDescent="0.25">
      <c r="A37" s="3" t="s">
        <v>37</v>
      </c>
      <c r="B37" s="4" t="s">
        <v>38</v>
      </c>
      <c r="C37" s="4" t="s">
        <v>135</v>
      </c>
      <c r="D37" s="4" t="s">
        <v>44</v>
      </c>
      <c r="E37" s="4" t="s">
        <v>165</v>
      </c>
      <c r="F37" s="4" t="s">
        <v>166</v>
      </c>
      <c r="G37" s="4" t="s">
        <v>167</v>
      </c>
      <c r="H37" s="5">
        <v>48</v>
      </c>
      <c r="I37" s="6">
        <v>150</v>
      </c>
      <c r="J37" s="7">
        <f>ROUND(I37*[1]Parametros!$B$10,-3)</f>
        <v>535000</v>
      </c>
      <c r="K37" s="8">
        <v>4</v>
      </c>
      <c r="L37" s="9" t="str">
        <f>IF(MIN(N(INDEX([1]Parametros!B$16:B$20,MATCH($C37,[1]Parametros!$A$16:$A$20,0)))*$K37,N('[1]ATS USA'!K37))&lt;=0,"",MIN(N(INDEX([1]Parametros!B$16:B$20,MATCH($C37,[1]Parametros!$A$16:$A$20,0)))*$K37,N('[1]ATS USA'!K37)))</f>
        <v/>
      </c>
      <c r="M37" s="9" t="str">
        <f>IF(MIN(N(INDEX([1]Parametros!C$16:C$20,MATCH($C37,[1]Parametros!$A$16:$A$20,0)))*$K37,N('[1]ATS USA'!L37))&lt;=0,"",MIN(N(INDEX([1]Parametros!C$16:C$20,MATCH($C37,[1]Parametros!$A$16:$A$20,0)))*$K37,N('[1]ATS USA'!L37)))</f>
        <v/>
      </c>
      <c r="N37" s="9" t="str">
        <f>IF(MIN(N(INDEX([1]Parametros!D$16:D$20,MATCH($C37,[1]Parametros!$A$16:$A$20,0)))*$K37,N('[1]ATS USA'!M37))&lt;=0,"",MIN(N(INDEX([1]Parametros!D$16:D$20,MATCH($C37,[1]Parametros!$A$16:$A$20,0)))*$K37,N('[1]ATS USA'!M37)))</f>
        <v/>
      </c>
      <c r="O37" s="9" t="str">
        <f>IF(MIN(N(INDEX([1]Parametros!E$16:E$20,MATCH($C37,[1]Parametros!$A$16:$A$20,0)))*$K37,N('[1]ATS USA'!N37))&lt;=0,"",MIN(N(INDEX([1]Parametros!E$16:E$20,MATCH($C37,[1]Parametros!$A$16:$A$20,0)))*$K37,N('[1]ATS USA'!N37)))</f>
        <v/>
      </c>
      <c r="P37" s="9" t="str">
        <f>IF(MIN(N(INDEX([1]Parametros!F$16:F$20,MATCH($C37,[1]Parametros!$A$16:$A$20,0)))*$K37,N('[1]ATS USA'!O37))&lt;=0,"",MIN(N(INDEX([1]Parametros!F$16:F$20,MATCH($C37,[1]Parametros!$A$16:$A$20,0)))*$K37,N('[1]ATS USA'!O37)))</f>
        <v/>
      </c>
      <c r="Q37" s="9" t="str">
        <f>IF(MIN(N(INDEX([1]Parametros!G$16:G$20,MATCH($C37,[1]Parametros!$A$16:$A$20,0)))*$K37,N('[1]ATS USA'!P37))&lt;=0,"",MIN(N(INDEX([1]Parametros!G$16:G$20,MATCH($C37,[1]Parametros!$A$16:$A$20,0)))*$K37,N('[1]ATS USA'!P37)))</f>
        <v/>
      </c>
      <c r="R37" s="10">
        <f>IF(MIN(N(INDEX([1]Parametros!H$16:H$20,MATCH($C37,[1]Parametros!$A$16:$A$20,0)))*$K37,N('[1]ATS USA'!Q37))&lt;=0,"",MIN(N(INDEX([1]Parametros!H$16:H$20,MATCH($C37,[1]Parametros!$A$16:$A$20,0)))*$K37,N('[1]ATS USA'!Q37)))</f>
        <v>4</v>
      </c>
      <c r="S37" s="10">
        <f>IF(MIN(N(INDEX([1]Parametros!I$16:I$20,MATCH($C37,[1]Parametros!$A$16:$A$20,0)))*$K37,N('[1]ATS USA'!R37))&lt;=0,"",MIN(N(INDEX([1]Parametros!I$16:I$20,MATCH($C37,[1]Parametros!$A$16:$A$20,0)))*$K37,N('[1]ATS USA'!R37)))</f>
        <v>8</v>
      </c>
      <c r="T37" s="10">
        <f>IF(MIN(N(INDEX([1]Parametros!J$16:J$20,MATCH($C37,[1]Parametros!$A$16:$A$20,0)))*$K37,N('[1]ATS USA'!S37))&lt;=0,"",MIN(N(INDEX([1]Parametros!J$16:J$20,MATCH($C37,[1]Parametros!$A$16:$A$20,0)))*$K37,N('[1]ATS USA'!S37)))</f>
        <v>12</v>
      </c>
      <c r="U37" s="10">
        <f>IF(MIN(N(INDEX([1]Parametros!K$16:K$20,MATCH($C37,[1]Parametros!$A$16:$A$20,0)))*$K37,N('[1]ATS USA'!T37))&lt;=0,"",MIN(N(INDEX([1]Parametros!K$16:K$20,MATCH($C37,[1]Parametros!$A$16:$A$20,0)))*$K37,N('[1]ATS USA'!T37)))</f>
        <v>8</v>
      </c>
      <c r="V37" s="10">
        <f>IF(MIN(N(INDEX([1]Parametros!L$16:L$20,MATCH($C37,[1]Parametros!$A$16:$A$20,0)))*$K37,N('[1]ATS USA'!U37))&lt;=0,"",MIN(N(INDEX([1]Parametros!L$16:L$20,MATCH($C37,[1]Parametros!$A$16:$A$20,0)))*$K37,N('[1]ATS USA'!U37)))</f>
        <v>4</v>
      </c>
      <c r="W37" s="9">
        <f>IF(MIN(N(INDEX([1]Parametros!M$16:M$20,MATCH($C37,[1]Parametros!$A$16:$A$20,0)))*$K37,N('[1]ATS USA'!V37))&lt;=0,"",MIN(N(INDEX([1]Parametros!M$16:M$20,MATCH($C37,[1]Parametros!$A$16:$A$20,0)))*$K37,N('[1]ATS USA'!V37)))</f>
        <v>4</v>
      </c>
      <c r="X37" s="10" t="str">
        <f>IF(MIN(N(INDEX([1]Parametros!N$16:N$20,MATCH($C37,[1]Parametros!$A$16:$A$20,0)))*$K37,N('[1]ATS USA'!W37))&lt;=0,"",MIN(N(INDEX([1]Parametros!N$16:N$20,MATCH($C37,[1]Parametros!$A$16:$A$20,0)))*$K37,N('[1]ATS USA'!W37)))</f>
        <v/>
      </c>
      <c r="Y37" s="9" t="str">
        <f>IF(MIN(N(INDEX([1]Parametros!O$16:O$20,MATCH($C37,[1]Parametros!$A$16:$A$20,0)))*$K37,N('[1]ATS USA'!X37))&lt;=0,"",MIN(N(INDEX([1]Parametros!O$16:O$20,MATCH($C37,[1]Parametros!$A$16:$A$20,0)))*$K37,N('[1]ATS USA'!X37)))</f>
        <v/>
      </c>
      <c r="Z37" s="9" t="str">
        <f>IF(MIN(N(INDEX([1]Parametros!P$16:P$20,MATCH($C37,[1]Parametros!$A$16:$A$20,0)))*$K37,N('[1]ATS USA'!Y37))&lt;=0,"",MIN(N(INDEX([1]Parametros!P$16:P$20,MATCH($C37,[1]Parametros!$A$16:$A$20,0)))*$K37,N('[1]ATS USA'!Y37)))</f>
        <v/>
      </c>
      <c r="AA37" s="9" t="str">
        <f>IF(MIN(N(INDEX([1]Parametros!Q$16:Q$20,MATCH($C37,[1]Parametros!$A$16:$A$20,0)))*$K37,N('[1]ATS USA'!Z37))&lt;=0,"",MIN(N(INDEX([1]Parametros!Q$16:Q$20,MATCH($C37,[1]Parametros!$A$16:$A$20,0)))*$K37,N('[1]ATS USA'!Z37)))</f>
        <v/>
      </c>
      <c r="AB37" s="9" t="str">
        <f>IF(MIN(N(INDEX([1]Parametros!R$16:R$20,MATCH($C37,[1]Parametros!$A$16:$A$20,0)))*$K37,N('[1]ATS USA'!AA37))&lt;=0,"",MIN(N(INDEX([1]Parametros!R$16:R$20,MATCH($C37,[1]Parametros!$A$16:$A$20,0)))*$K37,N('[1]ATS USA'!AA37)))</f>
        <v/>
      </c>
      <c r="AC37" s="9" t="str">
        <f>IF(MIN(N(INDEX([1]Parametros!S$16:S$20,MATCH($C37,[1]Parametros!$A$16:$A$20,0)))*$K37,N('[1]ATS USA'!AB37))&lt;=0,"",MIN(N(INDEX([1]Parametros!S$16:S$20,MATCH($C37,[1]Parametros!$A$16:$A$20,0)))*$K37,N('[1]ATS USA'!AB37)))</f>
        <v/>
      </c>
      <c r="AD37" s="9" t="str">
        <f>IF(MIN(N(INDEX([1]Parametros!T$16:T$20,MATCH($C37,[1]Parametros!$A$16:$A$20,0)))*$K37,N('[1]ATS USA'!AC37))&lt;=0,"",MIN(N(INDEX([1]Parametros!T$16:T$20,MATCH($C37,[1]Parametros!$A$16:$A$20,0)))*$K37,N('[1]ATS USA'!AC37)))</f>
        <v/>
      </c>
      <c r="AE37" s="9" t="str">
        <f>IF(MIN(N(INDEX([1]Parametros!U$16:U$20,MATCH($C37,[1]Parametros!$A$16:$A$20,0)))*$K37,N('[1]ATS USA'!AD37))&lt;=0,"",MIN(N(INDEX([1]Parametros!U$16:U$20,MATCH($C37,[1]Parametros!$A$16:$A$20,0)))*$K37,N('[1]ATS USA'!AD37)))</f>
        <v/>
      </c>
      <c r="AF37" s="11">
        <f t="shared" si="5"/>
        <v>40</v>
      </c>
      <c r="AG37" s="12" t="str">
        <f t="shared" si="1"/>
        <v>AJUSTAR</v>
      </c>
      <c r="AH37" s="6">
        <f t="shared" si="2"/>
        <v>1920</v>
      </c>
      <c r="AI37" s="9">
        <f t="shared" si="3"/>
        <v>8</v>
      </c>
      <c r="AJ37" s="13">
        <f>IF(LEFT($A37,8)="Tránsito",IFERROR(_xlfn.XLOOKUP(--$E37,'[1]Reserva Territorios'!$C:$C,'[1]Reserva Territorios'!$J:$J),0),0)</f>
        <v>0</v>
      </c>
      <c r="AK37" s="13">
        <f t="shared" si="4"/>
        <v>40</v>
      </c>
    </row>
    <row r="38" spans="1:37" ht="48.95" customHeight="1" x14ac:dyDescent="0.25">
      <c r="A38" s="3" t="s">
        <v>37</v>
      </c>
      <c r="B38" s="4" t="s">
        <v>38</v>
      </c>
      <c r="C38" s="4" t="s">
        <v>135</v>
      </c>
      <c r="D38" s="4" t="s">
        <v>44</v>
      </c>
      <c r="E38" s="4" t="s">
        <v>168</v>
      </c>
      <c r="F38" s="4" t="s">
        <v>169</v>
      </c>
      <c r="G38" s="4" t="s">
        <v>141</v>
      </c>
      <c r="H38" s="5">
        <v>48</v>
      </c>
      <c r="I38" s="6">
        <v>150</v>
      </c>
      <c r="J38" s="7">
        <f>ROUND(I38*[1]Parametros!$B$10,-3)</f>
        <v>535000</v>
      </c>
      <c r="K38" s="8">
        <v>4</v>
      </c>
      <c r="L38" s="9" t="str">
        <f>IF(MIN(N(INDEX([1]Parametros!B$16:B$20,MATCH($C38,[1]Parametros!$A$16:$A$20,0)))*$K38,N('[1]ATS USA'!K38))&lt;=0,"",MIN(N(INDEX([1]Parametros!B$16:B$20,MATCH($C38,[1]Parametros!$A$16:$A$20,0)))*$K38,N('[1]ATS USA'!K38)))</f>
        <v/>
      </c>
      <c r="M38" s="9" t="str">
        <f>IF(MIN(N(INDEX([1]Parametros!C$16:C$20,MATCH($C38,[1]Parametros!$A$16:$A$20,0)))*$K38,N('[1]ATS USA'!L38))&lt;=0,"",MIN(N(INDEX([1]Parametros!C$16:C$20,MATCH($C38,[1]Parametros!$A$16:$A$20,0)))*$K38,N('[1]ATS USA'!L38)))</f>
        <v/>
      </c>
      <c r="N38" s="9" t="str">
        <f>IF(MIN(N(INDEX([1]Parametros!D$16:D$20,MATCH($C38,[1]Parametros!$A$16:$A$20,0)))*$K38,N('[1]ATS USA'!M38))&lt;=0,"",MIN(N(INDEX([1]Parametros!D$16:D$20,MATCH($C38,[1]Parametros!$A$16:$A$20,0)))*$K38,N('[1]ATS USA'!M38)))</f>
        <v/>
      </c>
      <c r="O38" s="9" t="str">
        <f>IF(MIN(N(INDEX([1]Parametros!E$16:E$20,MATCH($C38,[1]Parametros!$A$16:$A$20,0)))*$K38,N('[1]ATS USA'!N38))&lt;=0,"",MIN(N(INDEX([1]Parametros!E$16:E$20,MATCH($C38,[1]Parametros!$A$16:$A$20,0)))*$K38,N('[1]ATS USA'!N38)))</f>
        <v/>
      </c>
      <c r="P38" s="9" t="str">
        <f>IF(MIN(N(INDEX([1]Parametros!F$16:F$20,MATCH($C38,[1]Parametros!$A$16:$A$20,0)))*$K38,N('[1]ATS USA'!O38))&lt;=0,"",MIN(N(INDEX([1]Parametros!F$16:F$20,MATCH($C38,[1]Parametros!$A$16:$A$20,0)))*$K38,N('[1]ATS USA'!O38)))</f>
        <v/>
      </c>
      <c r="Q38" s="9" t="str">
        <f>IF(MIN(N(INDEX([1]Parametros!G$16:G$20,MATCH($C38,[1]Parametros!$A$16:$A$20,0)))*$K38,N('[1]ATS USA'!P38))&lt;=0,"",MIN(N(INDEX([1]Parametros!G$16:G$20,MATCH($C38,[1]Parametros!$A$16:$A$20,0)))*$K38,N('[1]ATS USA'!P38)))</f>
        <v/>
      </c>
      <c r="R38" s="10">
        <f>IF(MIN(N(INDEX([1]Parametros!H$16:H$20,MATCH($C38,[1]Parametros!$A$16:$A$20,0)))*$K38,N('[1]ATS USA'!Q38))&lt;=0,"",MIN(N(INDEX([1]Parametros!H$16:H$20,MATCH($C38,[1]Parametros!$A$16:$A$20,0)))*$K38,N('[1]ATS USA'!Q38)))</f>
        <v>4</v>
      </c>
      <c r="S38" s="10">
        <f>IF(MIN(N(INDEX([1]Parametros!I$16:I$20,MATCH($C38,[1]Parametros!$A$16:$A$20,0)))*$K38,N('[1]ATS USA'!R38))&lt;=0,"",MIN(N(INDEX([1]Parametros!I$16:I$20,MATCH($C38,[1]Parametros!$A$16:$A$20,0)))*$K38,N('[1]ATS USA'!R38)))</f>
        <v>8</v>
      </c>
      <c r="T38" s="10">
        <f>IF(MIN(N(INDEX([1]Parametros!J$16:J$20,MATCH($C38,[1]Parametros!$A$16:$A$20,0)))*$K38,N('[1]ATS USA'!S38))&lt;=0,"",MIN(N(INDEX([1]Parametros!J$16:J$20,MATCH($C38,[1]Parametros!$A$16:$A$20,0)))*$K38,N('[1]ATS USA'!S38)))</f>
        <v>12</v>
      </c>
      <c r="U38" s="10">
        <f>IF(MIN(N(INDEX([1]Parametros!K$16:K$20,MATCH($C38,[1]Parametros!$A$16:$A$20,0)))*$K38,N('[1]ATS USA'!T38))&lt;=0,"",MIN(N(INDEX([1]Parametros!K$16:K$20,MATCH($C38,[1]Parametros!$A$16:$A$20,0)))*$K38,N('[1]ATS USA'!T38)))</f>
        <v>8</v>
      </c>
      <c r="V38" s="10">
        <f>IF(MIN(N(INDEX([1]Parametros!L$16:L$20,MATCH($C38,[1]Parametros!$A$16:$A$20,0)))*$K38,N('[1]ATS USA'!U38))&lt;=0,"",MIN(N(INDEX([1]Parametros!L$16:L$20,MATCH($C38,[1]Parametros!$A$16:$A$20,0)))*$K38,N('[1]ATS USA'!U38)))</f>
        <v>4</v>
      </c>
      <c r="W38" s="9">
        <f>IF(MIN(N(INDEX([1]Parametros!M$16:M$20,MATCH($C38,[1]Parametros!$A$16:$A$20,0)))*$K38,N('[1]ATS USA'!V38))&lt;=0,"",MIN(N(INDEX([1]Parametros!M$16:M$20,MATCH($C38,[1]Parametros!$A$16:$A$20,0)))*$K38,N('[1]ATS USA'!V38)))</f>
        <v>4</v>
      </c>
      <c r="X38" s="10" t="str">
        <f>IF(MIN(N(INDEX([1]Parametros!N$16:N$20,MATCH($C38,[1]Parametros!$A$16:$A$20,0)))*$K38,N('[1]ATS USA'!W38))&lt;=0,"",MIN(N(INDEX([1]Parametros!N$16:N$20,MATCH($C38,[1]Parametros!$A$16:$A$20,0)))*$K38,N('[1]ATS USA'!W38)))</f>
        <v/>
      </c>
      <c r="Y38" s="9" t="str">
        <f>IF(MIN(N(INDEX([1]Parametros!O$16:O$20,MATCH($C38,[1]Parametros!$A$16:$A$20,0)))*$K38,N('[1]ATS USA'!X38))&lt;=0,"",MIN(N(INDEX([1]Parametros!O$16:O$20,MATCH($C38,[1]Parametros!$A$16:$A$20,0)))*$K38,N('[1]ATS USA'!X38)))</f>
        <v/>
      </c>
      <c r="Z38" s="9" t="str">
        <f>IF(MIN(N(INDEX([1]Parametros!P$16:P$20,MATCH($C38,[1]Parametros!$A$16:$A$20,0)))*$K38,N('[1]ATS USA'!Y38))&lt;=0,"",MIN(N(INDEX([1]Parametros!P$16:P$20,MATCH($C38,[1]Parametros!$A$16:$A$20,0)))*$K38,N('[1]ATS USA'!Y38)))</f>
        <v/>
      </c>
      <c r="AA38" s="9" t="str">
        <f>IF(MIN(N(INDEX([1]Parametros!Q$16:Q$20,MATCH($C38,[1]Parametros!$A$16:$A$20,0)))*$K38,N('[1]ATS USA'!Z38))&lt;=0,"",MIN(N(INDEX([1]Parametros!Q$16:Q$20,MATCH($C38,[1]Parametros!$A$16:$A$20,0)))*$K38,N('[1]ATS USA'!Z38)))</f>
        <v/>
      </c>
      <c r="AB38" s="9" t="str">
        <f>IF(MIN(N(INDEX([1]Parametros!R$16:R$20,MATCH($C38,[1]Parametros!$A$16:$A$20,0)))*$K38,N('[1]ATS USA'!AA38))&lt;=0,"",MIN(N(INDEX([1]Parametros!R$16:R$20,MATCH($C38,[1]Parametros!$A$16:$A$20,0)))*$K38,N('[1]ATS USA'!AA38)))</f>
        <v/>
      </c>
      <c r="AC38" s="9" t="str">
        <f>IF(MIN(N(INDEX([1]Parametros!S$16:S$20,MATCH($C38,[1]Parametros!$A$16:$A$20,0)))*$K38,N('[1]ATS USA'!AB38))&lt;=0,"",MIN(N(INDEX([1]Parametros!S$16:S$20,MATCH($C38,[1]Parametros!$A$16:$A$20,0)))*$K38,N('[1]ATS USA'!AB38)))</f>
        <v/>
      </c>
      <c r="AD38" s="9" t="str">
        <f>IF(MIN(N(INDEX([1]Parametros!T$16:T$20,MATCH($C38,[1]Parametros!$A$16:$A$20,0)))*$K38,N('[1]ATS USA'!AC38))&lt;=0,"",MIN(N(INDEX([1]Parametros!T$16:T$20,MATCH($C38,[1]Parametros!$A$16:$A$20,0)))*$K38,N('[1]ATS USA'!AC38)))</f>
        <v/>
      </c>
      <c r="AE38" s="9" t="str">
        <f>IF(MIN(N(INDEX([1]Parametros!U$16:U$20,MATCH($C38,[1]Parametros!$A$16:$A$20,0)))*$K38,N('[1]ATS USA'!AD38))&lt;=0,"",MIN(N(INDEX([1]Parametros!U$16:U$20,MATCH($C38,[1]Parametros!$A$16:$A$20,0)))*$K38,N('[1]ATS USA'!AD38)))</f>
        <v/>
      </c>
      <c r="AF38" s="11">
        <f t="shared" si="5"/>
        <v>40</v>
      </c>
      <c r="AG38" s="12" t="str">
        <f t="shared" si="1"/>
        <v>AJUSTAR</v>
      </c>
      <c r="AH38" s="6">
        <f t="shared" si="2"/>
        <v>1920</v>
      </c>
      <c r="AI38" s="9">
        <f t="shared" si="3"/>
        <v>8</v>
      </c>
      <c r="AJ38" s="13">
        <f>IF(LEFT($A38,8)="Tránsito",IFERROR(_xlfn.XLOOKUP(--$E38,'[1]Reserva Territorios'!$C:$C,'[1]Reserva Territorios'!$J:$J),0),0)</f>
        <v>0</v>
      </c>
      <c r="AK38" s="13">
        <f t="shared" si="4"/>
        <v>40</v>
      </c>
    </row>
    <row r="39" spans="1:37" ht="48.95" hidden="1" customHeight="1" x14ac:dyDescent="0.25">
      <c r="A39" s="3" t="s">
        <v>37</v>
      </c>
      <c r="B39" s="4" t="s">
        <v>38</v>
      </c>
      <c r="C39" s="4" t="s">
        <v>135</v>
      </c>
      <c r="D39" s="4" t="s">
        <v>54</v>
      </c>
      <c r="E39" s="4" t="s">
        <v>170</v>
      </c>
      <c r="F39" s="4" t="s">
        <v>171</v>
      </c>
      <c r="G39" s="4" t="s">
        <v>151</v>
      </c>
      <c r="H39" s="5">
        <v>46.5</v>
      </c>
      <c r="I39" s="6">
        <v>165</v>
      </c>
      <c r="J39" s="7">
        <f>ROUND(I39*[1]Parametros!$B$10,-3)</f>
        <v>589000</v>
      </c>
      <c r="K39" s="8">
        <v>0</v>
      </c>
      <c r="L39" s="9" t="str">
        <f>IF(MIN(N(INDEX([1]Parametros!B$16:B$20,MATCH($C39,[1]Parametros!$A$16:$A$20,0)))*$K39,N('[1]ATS USA'!K39))&lt;=0,"",MIN(N(INDEX([1]Parametros!B$16:B$20,MATCH($C39,[1]Parametros!$A$16:$A$20,0)))*$K39,N('[1]ATS USA'!K39)))</f>
        <v/>
      </c>
      <c r="M39" s="9" t="str">
        <f>IF(MIN(N(INDEX([1]Parametros!C$16:C$20,MATCH($C39,[1]Parametros!$A$16:$A$20,0)))*$K39,N('[1]ATS USA'!L39))&lt;=0,"",MIN(N(INDEX([1]Parametros!C$16:C$20,MATCH($C39,[1]Parametros!$A$16:$A$20,0)))*$K39,N('[1]ATS USA'!L39)))</f>
        <v/>
      </c>
      <c r="N39" s="9" t="str">
        <f>IF(MIN(N(INDEX([1]Parametros!D$16:D$20,MATCH($C39,[1]Parametros!$A$16:$A$20,0)))*$K39,N('[1]ATS USA'!M39))&lt;=0,"",MIN(N(INDEX([1]Parametros!D$16:D$20,MATCH($C39,[1]Parametros!$A$16:$A$20,0)))*$K39,N('[1]ATS USA'!M39)))</f>
        <v/>
      </c>
      <c r="O39" s="9" t="str">
        <f>IF(MIN(N(INDEX([1]Parametros!E$16:E$20,MATCH($C39,[1]Parametros!$A$16:$A$20,0)))*$K39,N('[1]ATS USA'!N39))&lt;=0,"",MIN(N(INDEX([1]Parametros!E$16:E$20,MATCH($C39,[1]Parametros!$A$16:$A$20,0)))*$K39,N('[1]ATS USA'!N39)))</f>
        <v/>
      </c>
      <c r="P39" s="9" t="str">
        <f>IF(MIN(N(INDEX([1]Parametros!F$16:F$20,MATCH($C39,[1]Parametros!$A$16:$A$20,0)))*$K39,N('[1]ATS USA'!O39))&lt;=0,"",MIN(N(INDEX([1]Parametros!F$16:F$20,MATCH($C39,[1]Parametros!$A$16:$A$20,0)))*$K39,N('[1]ATS USA'!O39)))</f>
        <v/>
      </c>
      <c r="Q39" s="9" t="str">
        <f>IF(MIN(N(INDEX([1]Parametros!G$16:G$20,MATCH($C39,[1]Parametros!$A$16:$A$20,0)))*$K39,N('[1]ATS USA'!P39))&lt;=0,"",MIN(N(INDEX([1]Parametros!G$16:G$20,MATCH($C39,[1]Parametros!$A$16:$A$20,0)))*$K39,N('[1]ATS USA'!P39)))</f>
        <v/>
      </c>
      <c r="R39" s="10" t="str">
        <f>IF(MIN(N(INDEX([1]Parametros!H$16:H$20,MATCH($C39,[1]Parametros!$A$16:$A$20,0)))*$K39,N('[1]ATS USA'!Q39))&lt;=0,"",MIN(N(INDEX([1]Parametros!H$16:H$20,MATCH($C39,[1]Parametros!$A$16:$A$20,0)))*$K39,N('[1]ATS USA'!Q39)))</f>
        <v/>
      </c>
      <c r="S39" s="10" t="str">
        <f>IF(MIN(N(INDEX([1]Parametros!I$16:I$20,MATCH($C39,[1]Parametros!$A$16:$A$20,0)))*$K39,N('[1]ATS USA'!R39))&lt;=0,"",MIN(N(INDEX([1]Parametros!I$16:I$20,MATCH($C39,[1]Parametros!$A$16:$A$20,0)))*$K39,N('[1]ATS USA'!R39)))</f>
        <v/>
      </c>
      <c r="T39" s="10" t="str">
        <f>IF(MIN(N(INDEX([1]Parametros!J$16:J$20,MATCH($C39,[1]Parametros!$A$16:$A$20,0)))*$K39,N('[1]ATS USA'!S39))&lt;=0,"",MIN(N(INDEX([1]Parametros!J$16:J$20,MATCH($C39,[1]Parametros!$A$16:$A$20,0)))*$K39,N('[1]ATS USA'!S39)))</f>
        <v/>
      </c>
      <c r="U39" s="10" t="str">
        <f>IF(MIN(N(INDEX([1]Parametros!K$16:K$20,MATCH($C39,[1]Parametros!$A$16:$A$20,0)))*$K39,N('[1]ATS USA'!T39))&lt;=0,"",MIN(N(INDEX([1]Parametros!K$16:K$20,MATCH($C39,[1]Parametros!$A$16:$A$20,0)))*$K39,N('[1]ATS USA'!T39)))</f>
        <v/>
      </c>
      <c r="V39" s="10" t="str">
        <f>IF(MIN(N(INDEX([1]Parametros!L$16:L$20,MATCH($C39,[1]Parametros!$A$16:$A$20,0)))*$K39,N('[1]ATS USA'!U39))&lt;=0,"",MIN(N(INDEX([1]Parametros!L$16:L$20,MATCH($C39,[1]Parametros!$A$16:$A$20,0)))*$K39,N('[1]ATS USA'!U39)))</f>
        <v/>
      </c>
      <c r="W39" s="9" t="str">
        <f>IF(MIN(N(INDEX([1]Parametros!M$16:M$20,MATCH($C39,[1]Parametros!$A$16:$A$20,0)))*$K39,N('[1]ATS USA'!V39))&lt;=0,"",MIN(N(INDEX([1]Parametros!M$16:M$20,MATCH($C39,[1]Parametros!$A$16:$A$20,0)))*$K39,N('[1]ATS USA'!V39)))</f>
        <v/>
      </c>
      <c r="X39" s="10" t="str">
        <f>IF(MIN(N(INDEX([1]Parametros!N$16:N$20,MATCH($C39,[1]Parametros!$A$16:$A$20,0)))*$K39,N('[1]ATS USA'!W39))&lt;=0,"",MIN(N(INDEX([1]Parametros!N$16:N$20,MATCH($C39,[1]Parametros!$A$16:$A$20,0)))*$K39,N('[1]ATS USA'!W39)))</f>
        <v/>
      </c>
      <c r="Y39" s="9" t="str">
        <f>IF(MIN(N(INDEX([1]Parametros!O$16:O$20,MATCH($C39,[1]Parametros!$A$16:$A$20,0)))*$K39,N('[1]ATS USA'!X39))&lt;=0,"",MIN(N(INDEX([1]Parametros!O$16:O$20,MATCH($C39,[1]Parametros!$A$16:$A$20,0)))*$K39,N('[1]ATS USA'!X39)))</f>
        <v/>
      </c>
      <c r="Z39" s="9" t="str">
        <f>IF(MIN(N(INDEX([1]Parametros!P$16:P$20,MATCH($C39,[1]Parametros!$A$16:$A$20,0)))*$K39,N('[1]ATS USA'!Y39))&lt;=0,"",MIN(N(INDEX([1]Parametros!P$16:P$20,MATCH($C39,[1]Parametros!$A$16:$A$20,0)))*$K39,N('[1]ATS USA'!Y39)))</f>
        <v/>
      </c>
      <c r="AA39" s="9" t="str">
        <f>IF(MIN(N(INDEX([1]Parametros!Q$16:Q$20,MATCH($C39,[1]Parametros!$A$16:$A$20,0)))*$K39,N('[1]ATS USA'!Z39))&lt;=0,"",MIN(N(INDEX([1]Parametros!Q$16:Q$20,MATCH($C39,[1]Parametros!$A$16:$A$20,0)))*$K39,N('[1]ATS USA'!Z39)))</f>
        <v/>
      </c>
      <c r="AB39" s="9" t="str">
        <f>IF(MIN(N(INDEX([1]Parametros!R$16:R$20,MATCH($C39,[1]Parametros!$A$16:$A$20,0)))*$K39,N('[1]ATS USA'!AA39))&lt;=0,"",MIN(N(INDEX([1]Parametros!R$16:R$20,MATCH($C39,[1]Parametros!$A$16:$A$20,0)))*$K39,N('[1]ATS USA'!AA39)))</f>
        <v/>
      </c>
      <c r="AC39" s="9" t="str">
        <f>IF(MIN(N(INDEX([1]Parametros!S$16:S$20,MATCH($C39,[1]Parametros!$A$16:$A$20,0)))*$K39,N('[1]ATS USA'!AB39))&lt;=0,"",MIN(N(INDEX([1]Parametros!S$16:S$20,MATCH($C39,[1]Parametros!$A$16:$A$20,0)))*$K39,N('[1]ATS USA'!AB39)))</f>
        <v/>
      </c>
      <c r="AD39" s="9" t="str">
        <f>IF(MIN(N(INDEX([1]Parametros!T$16:T$20,MATCH($C39,[1]Parametros!$A$16:$A$20,0)))*$K39,N('[1]ATS USA'!AC39))&lt;=0,"",MIN(N(INDEX([1]Parametros!T$16:T$20,MATCH($C39,[1]Parametros!$A$16:$A$20,0)))*$K39,N('[1]ATS USA'!AC39)))</f>
        <v/>
      </c>
      <c r="AE39" s="9" t="str">
        <f>IF(MIN(N(INDEX([1]Parametros!U$16:U$20,MATCH($C39,[1]Parametros!$A$16:$A$20,0)))*$K39,N('[1]ATS USA'!AD39))&lt;=0,"",MIN(N(INDEX([1]Parametros!U$16:U$20,MATCH($C39,[1]Parametros!$A$16:$A$20,0)))*$K39,N('[1]ATS USA'!AD39)))</f>
        <v/>
      </c>
      <c r="AF39" s="11">
        <f t="shared" si="5"/>
        <v>0</v>
      </c>
      <c r="AG39" s="12" t="str">
        <f t="shared" si="1"/>
        <v>OK</v>
      </c>
      <c r="AH39" s="6">
        <f t="shared" si="2"/>
        <v>0</v>
      </c>
      <c r="AI39" s="9">
        <f t="shared" si="3"/>
        <v>0</v>
      </c>
      <c r="AJ39" s="13">
        <f>IF(LEFT($A39,8)="Tránsito",IFERROR(_xlfn.XLOOKUP(--$E39,'[1]Reserva Territorios'!$C:$C,'[1]Reserva Territorios'!$J:$J),0),0)</f>
        <v>0</v>
      </c>
      <c r="AK39" s="13">
        <f t="shared" si="4"/>
        <v>0</v>
      </c>
    </row>
    <row r="40" spans="1:37" ht="48.95" hidden="1" customHeight="1" x14ac:dyDescent="0.25">
      <c r="A40" s="3" t="s">
        <v>37</v>
      </c>
      <c r="B40" s="4" t="s">
        <v>38</v>
      </c>
      <c r="C40" s="4" t="s">
        <v>135</v>
      </c>
      <c r="D40" s="4" t="s">
        <v>172</v>
      </c>
      <c r="E40" s="4" t="s">
        <v>173</v>
      </c>
      <c r="F40" s="4" t="s">
        <v>174</v>
      </c>
      <c r="G40" s="4" t="s">
        <v>43</v>
      </c>
      <c r="H40" s="5">
        <v>45</v>
      </c>
      <c r="I40" s="6">
        <v>165</v>
      </c>
      <c r="J40" s="7">
        <f>ROUND(I40*[1]Parametros!$B$10,-3)</f>
        <v>589000</v>
      </c>
      <c r="K40" s="8">
        <v>0</v>
      </c>
      <c r="L40" s="9" t="str">
        <f>IF(MIN(N(INDEX([1]Parametros!B$16:B$20,MATCH($C40,[1]Parametros!$A$16:$A$20,0)))*$K40,N('[1]ATS USA'!K40))&lt;=0,"",MIN(N(INDEX([1]Parametros!B$16:B$20,MATCH($C40,[1]Parametros!$A$16:$A$20,0)))*$K40,N('[1]ATS USA'!K40)))</f>
        <v/>
      </c>
      <c r="M40" s="9" t="str">
        <f>IF(MIN(N(INDEX([1]Parametros!C$16:C$20,MATCH($C40,[1]Parametros!$A$16:$A$20,0)))*$K40,N('[1]ATS USA'!L40))&lt;=0,"",MIN(N(INDEX([1]Parametros!C$16:C$20,MATCH($C40,[1]Parametros!$A$16:$A$20,0)))*$K40,N('[1]ATS USA'!L40)))</f>
        <v/>
      </c>
      <c r="N40" s="9" t="str">
        <f>IF(MIN(N(INDEX([1]Parametros!D$16:D$20,MATCH($C40,[1]Parametros!$A$16:$A$20,0)))*$K40,N('[1]ATS USA'!M40))&lt;=0,"",MIN(N(INDEX([1]Parametros!D$16:D$20,MATCH($C40,[1]Parametros!$A$16:$A$20,0)))*$K40,N('[1]ATS USA'!M40)))</f>
        <v/>
      </c>
      <c r="O40" s="9" t="str">
        <f>IF(MIN(N(INDEX([1]Parametros!E$16:E$20,MATCH($C40,[1]Parametros!$A$16:$A$20,0)))*$K40,N('[1]ATS USA'!N40))&lt;=0,"",MIN(N(INDEX([1]Parametros!E$16:E$20,MATCH($C40,[1]Parametros!$A$16:$A$20,0)))*$K40,N('[1]ATS USA'!N40)))</f>
        <v/>
      </c>
      <c r="P40" s="10" t="str">
        <f>IF(MIN(N(INDEX([1]Parametros!F$16:F$20,MATCH($C40,[1]Parametros!$A$16:$A$20,0)))*$K40,N('[1]ATS USA'!O40))&lt;=0,"",MIN(N(INDEX([1]Parametros!F$16:F$20,MATCH($C40,[1]Parametros!$A$16:$A$20,0)))*$K40,N('[1]ATS USA'!O40)))</f>
        <v/>
      </c>
      <c r="Q40" s="10" t="str">
        <f>IF(MIN(N(INDEX([1]Parametros!G$16:G$20,MATCH($C40,[1]Parametros!$A$16:$A$20,0)))*$K40,N('[1]ATS USA'!P40))&lt;=0,"",MIN(N(INDEX([1]Parametros!G$16:G$20,MATCH($C40,[1]Parametros!$A$16:$A$20,0)))*$K40,N('[1]ATS USA'!P40)))</f>
        <v/>
      </c>
      <c r="R40" s="10" t="str">
        <f>IF(MIN(N(INDEX([1]Parametros!H$16:H$20,MATCH($C40,[1]Parametros!$A$16:$A$20,0)))*$K40,N('[1]ATS USA'!Q40))&lt;=0,"",MIN(N(INDEX([1]Parametros!H$16:H$20,MATCH($C40,[1]Parametros!$A$16:$A$20,0)))*$K40,N('[1]ATS USA'!Q40)))</f>
        <v/>
      </c>
      <c r="S40" s="10" t="str">
        <f>IF(MIN(N(INDEX([1]Parametros!I$16:I$20,MATCH($C40,[1]Parametros!$A$16:$A$20,0)))*$K40,N('[1]ATS USA'!R40))&lt;=0,"",MIN(N(INDEX([1]Parametros!I$16:I$20,MATCH($C40,[1]Parametros!$A$16:$A$20,0)))*$K40,N('[1]ATS USA'!R40)))</f>
        <v/>
      </c>
      <c r="T40" s="10" t="str">
        <f>IF(MIN(N(INDEX([1]Parametros!J$16:J$20,MATCH($C40,[1]Parametros!$A$16:$A$20,0)))*$K40,N('[1]ATS USA'!S40))&lt;=0,"",MIN(N(INDEX([1]Parametros!J$16:J$20,MATCH($C40,[1]Parametros!$A$16:$A$20,0)))*$K40,N('[1]ATS USA'!S40)))</f>
        <v/>
      </c>
      <c r="U40" s="10" t="str">
        <f>IF(MIN(N(INDEX([1]Parametros!K$16:K$20,MATCH($C40,[1]Parametros!$A$16:$A$20,0)))*$K40,N('[1]ATS USA'!T40))&lt;=0,"",MIN(N(INDEX([1]Parametros!K$16:K$20,MATCH($C40,[1]Parametros!$A$16:$A$20,0)))*$K40,N('[1]ATS USA'!T40)))</f>
        <v/>
      </c>
      <c r="V40" s="10" t="str">
        <f>IF(MIN(N(INDEX([1]Parametros!L$16:L$20,MATCH($C40,[1]Parametros!$A$16:$A$20,0)))*$K40,N('[1]ATS USA'!U40))&lt;=0,"",MIN(N(INDEX([1]Parametros!L$16:L$20,MATCH($C40,[1]Parametros!$A$16:$A$20,0)))*$K40,N('[1]ATS USA'!U40)))</f>
        <v/>
      </c>
      <c r="W40" s="9" t="str">
        <f>IF(MIN(N(INDEX([1]Parametros!M$16:M$20,MATCH($C40,[1]Parametros!$A$16:$A$20,0)))*$K40,N('[1]ATS USA'!V40))&lt;=0,"",MIN(N(INDEX([1]Parametros!M$16:M$20,MATCH($C40,[1]Parametros!$A$16:$A$20,0)))*$K40,N('[1]ATS USA'!V40)))</f>
        <v/>
      </c>
      <c r="X40" s="10" t="str">
        <f>IF(MIN(N(INDEX([1]Parametros!N$16:N$20,MATCH($C40,[1]Parametros!$A$16:$A$20,0)))*$K40,N('[1]ATS USA'!W40))&lt;=0,"",MIN(N(INDEX([1]Parametros!N$16:N$20,MATCH($C40,[1]Parametros!$A$16:$A$20,0)))*$K40,N('[1]ATS USA'!W40)))</f>
        <v/>
      </c>
      <c r="Y40" s="9" t="str">
        <f>IF(MIN(N(INDEX([1]Parametros!O$16:O$20,MATCH($C40,[1]Parametros!$A$16:$A$20,0)))*$K40,N('[1]ATS USA'!X40))&lt;=0,"",MIN(N(INDEX([1]Parametros!O$16:O$20,MATCH($C40,[1]Parametros!$A$16:$A$20,0)))*$K40,N('[1]ATS USA'!X40)))</f>
        <v/>
      </c>
      <c r="Z40" s="9" t="str">
        <f>IF(MIN(N(INDEX([1]Parametros!P$16:P$20,MATCH($C40,[1]Parametros!$A$16:$A$20,0)))*$K40,N('[1]ATS USA'!Y40))&lt;=0,"",MIN(N(INDEX([1]Parametros!P$16:P$20,MATCH($C40,[1]Parametros!$A$16:$A$20,0)))*$K40,N('[1]ATS USA'!Y40)))</f>
        <v/>
      </c>
      <c r="AA40" s="9" t="str">
        <f>IF(MIN(N(INDEX([1]Parametros!Q$16:Q$20,MATCH($C40,[1]Parametros!$A$16:$A$20,0)))*$K40,N('[1]ATS USA'!Z40))&lt;=0,"",MIN(N(INDEX([1]Parametros!Q$16:Q$20,MATCH($C40,[1]Parametros!$A$16:$A$20,0)))*$K40,N('[1]ATS USA'!Z40)))</f>
        <v/>
      </c>
      <c r="AB40" s="9" t="str">
        <f>IF(MIN(N(INDEX([1]Parametros!R$16:R$20,MATCH($C40,[1]Parametros!$A$16:$A$20,0)))*$K40,N('[1]ATS USA'!AA40))&lt;=0,"",MIN(N(INDEX([1]Parametros!R$16:R$20,MATCH($C40,[1]Parametros!$A$16:$A$20,0)))*$K40,N('[1]ATS USA'!AA40)))</f>
        <v/>
      </c>
      <c r="AC40" s="9" t="str">
        <f>IF(MIN(N(INDEX([1]Parametros!S$16:S$20,MATCH($C40,[1]Parametros!$A$16:$A$20,0)))*$K40,N('[1]ATS USA'!AB40))&lt;=0,"",MIN(N(INDEX([1]Parametros!S$16:S$20,MATCH($C40,[1]Parametros!$A$16:$A$20,0)))*$K40,N('[1]ATS USA'!AB40)))</f>
        <v/>
      </c>
      <c r="AD40" s="9" t="str">
        <f>IF(MIN(N(INDEX([1]Parametros!T$16:T$20,MATCH($C40,[1]Parametros!$A$16:$A$20,0)))*$K40,N('[1]ATS USA'!AC40))&lt;=0,"",MIN(N(INDEX([1]Parametros!T$16:T$20,MATCH($C40,[1]Parametros!$A$16:$A$20,0)))*$K40,N('[1]ATS USA'!AC40)))</f>
        <v/>
      </c>
      <c r="AE40" s="9" t="str">
        <f>IF(MIN(N(INDEX([1]Parametros!U$16:U$20,MATCH($C40,[1]Parametros!$A$16:$A$20,0)))*$K40,N('[1]ATS USA'!AD40))&lt;=0,"",MIN(N(INDEX([1]Parametros!U$16:U$20,MATCH($C40,[1]Parametros!$A$16:$A$20,0)))*$K40,N('[1]ATS USA'!AD40)))</f>
        <v/>
      </c>
      <c r="AF40" s="11">
        <f t="shared" si="5"/>
        <v>0</v>
      </c>
      <c r="AG40" s="12" t="str">
        <f t="shared" si="1"/>
        <v>OK</v>
      </c>
      <c r="AH40" s="6">
        <f t="shared" si="2"/>
        <v>0</v>
      </c>
      <c r="AI40" s="9">
        <f t="shared" si="3"/>
        <v>0</v>
      </c>
      <c r="AJ40" s="13">
        <f>IF(LEFT($A40,8)="Tránsito",IFERROR(_xlfn.XLOOKUP(--$E40,'[1]Reserva Territorios'!$C:$C,'[1]Reserva Territorios'!$J:$J),0),0)</f>
        <v>0</v>
      </c>
      <c r="AK40" s="13">
        <f t="shared" si="4"/>
        <v>0</v>
      </c>
    </row>
    <row r="41" spans="1:37" ht="48.95" customHeight="1" x14ac:dyDescent="0.25">
      <c r="A41" s="3" t="s">
        <v>37</v>
      </c>
      <c r="B41" s="4" t="s">
        <v>76</v>
      </c>
      <c r="C41" s="4" t="s">
        <v>135</v>
      </c>
      <c r="D41" s="4" t="s">
        <v>77</v>
      </c>
      <c r="E41" s="4" t="s">
        <v>175</v>
      </c>
      <c r="F41" s="4" t="s">
        <v>176</v>
      </c>
      <c r="G41" s="4" t="s">
        <v>177</v>
      </c>
      <c r="H41" s="5">
        <v>49.75</v>
      </c>
      <c r="I41" s="6">
        <v>160</v>
      </c>
      <c r="J41" s="7">
        <f>ROUND(I41*[1]Parametros!$B$10,-3)</f>
        <v>571000</v>
      </c>
      <c r="K41" s="8">
        <v>2</v>
      </c>
      <c r="L41" s="9" t="str">
        <f>IF(MIN(N(INDEX([1]Parametros!B$16:B$20,MATCH($C41,[1]Parametros!$A$16:$A$20,0)))*$K41,N('[1]ATS USA'!K41))&lt;=0,"",MIN(N(INDEX([1]Parametros!B$16:B$20,MATCH($C41,[1]Parametros!$A$16:$A$20,0)))*$K41,N('[1]ATS USA'!K41)))</f>
        <v/>
      </c>
      <c r="M41" s="9" t="str">
        <f>IF(MIN(N(INDEX([1]Parametros!C$16:C$20,MATCH($C41,[1]Parametros!$A$16:$A$20,0)))*$K41,N('[1]ATS USA'!L41))&lt;=0,"",MIN(N(INDEX([1]Parametros!C$16:C$20,MATCH($C41,[1]Parametros!$A$16:$A$20,0)))*$K41,N('[1]ATS USA'!L41)))</f>
        <v/>
      </c>
      <c r="N41" s="9" t="str">
        <f>IF(MIN(N(INDEX([1]Parametros!D$16:D$20,MATCH($C41,[1]Parametros!$A$16:$A$20,0)))*$K41,N('[1]ATS USA'!M41))&lt;=0,"",MIN(N(INDEX([1]Parametros!D$16:D$20,MATCH($C41,[1]Parametros!$A$16:$A$20,0)))*$K41,N('[1]ATS USA'!M41)))</f>
        <v/>
      </c>
      <c r="O41" s="9" t="str">
        <f>IF(MIN(N(INDEX([1]Parametros!E$16:E$20,MATCH($C41,[1]Parametros!$A$16:$A$20,0)))*$K41,N('[1]ATS USA'!N41))&lt;=0,"",MIN(N(INDEX([1]Parametros!E$16:E$20,MATCH($C41,[1]Parametros!$A$16:$A$20,0)))*$K41,N('[1]ATS USA'!N41)))</f>
        <v/>
      </c>
      <c r="P41" s="10">
        <f>IF(MIN(N(INDEX([1]Parametros!F$16:F$20,MATCH($C41,[1]Parametros!$A$16:$A$20,0)))*$K41,N('[1]ATS USA'!O41))&lt;=0,"",MIN(N(INDEX([1]Parametros!F$16:F$20,MATCH($C41,[1]Parametros!$A$16:$A$20,0)))*$K41,N('[1]ATS USA'!O41)))</f>
        <v>2</v>
      </c>
      <c r="Q41" s="10">
        <f>IF(MIN(N(INDEX([1]Parametros!G$16:G$20,MATCH($C41,[1]Parametros!$A$16:$A$20,0)))*$K41,N('[1]ATS USA'!P41))&lt;=0,"",MIN(N(INDEX([1]Parametros!G$16:G$20,MATCH($C41,[1]Parametros!$A$16:$A$20,0)))*$K41,N('[1]ATS USA'!P41)))</f>
        <v>2</v>
      </c>
      <c r="R41" s="10">
        <f>IF(MIN(N(INDEX([1]Parametros!H$16:H$20,MATCH($C41,[1]Parametros!$A$16:$A$20,0)))*$K41,N('[1]ATS USA'!Q41))&lt;=0,"",MIN(N(INDEX([1]Parametros!H$16:H$20,MATCH($C41,[1]Parametros!$A$16:$A$20,0)))*$K41,N('[1]ATS USA'!Q41)))</f>
        <v>2</v>
      </c>
      <c r="S41" s="10">
        <f>IF(MIN(N(INDEX([1]Parametros!I$16:I$20,MATCH($C41,[1]Parametros!$A$16:$A$20,0)))*$K41,N('[1]ATS USA'!R41))&lt;=0,"",MIN(N(INDEX([1]Parametros!I$16:I$20,MATCH($C41,[1]Parametros!$A$16:$A$20,0)))*$K41,N('[1]ATS USA'!R41)))</f>
        <v>4</v>
      </c>
      <c r="T41" s="10">
        <f>IF(MIN(N(INDEX([1]Parametros!J$16:J$20,MATCH($C41,[1]Parametros!$A$16:$A$20,0)))*$K41,N('[1]ATS USA'!S41))&lt;=0,"",MIN(N(INDEX([1]Parametros!J$16:J$20,MATCH($C41,[1]Parametros!$A$16:$A$20,0)))*$K41,N('[1]ATS USA'!S41)))</f>
        <v>6</v>
      </c>
      <c r="U41" s="10">
        <f>IF(MIN(N(INDEX([1]Parametros!K$16:K$20,MATCH($C41,[1]Parametros!$A$16:$A$20,0)))*$K41,N('[1]ATS USA'!T41))&lt;=0,"",MIN(N(INDEX([1]Parametros!K$16:K$20,MATCH($C41,[1]Parametros!$A$16:$A$20,0)))*$K41,N('[1]ATS USA'!T41)))</f>
        <v>4</v>
      </c>
      <c r="V41" s="10">
        <f>IF(MIN(N(INDEX([1]Parametros!L$16:L$20,MATCH($C41,[1]Parametros!$A$16:$A$20,0)))*$K41,N('[1]ATS USA'!U41))&lt;=0,"",MIN(N(INDEX([1]Parametros!L$16:L$20,MATCH($C41,[1]Parametros!$A$16:$A$20,0)))*$K41,N('[1]ATS USA'!U41)))</f>
        <v>2</v>
      </c>
      <c r="W41" s="9">
        <f>IF(MIN(N(INDEX([1]Parametros!M$16:M$20,MATCH($C41,[1]Parametros!$A$16:$A$20,0)))*$K41,N('[1]ATS USA'!V41))&lt;=0,"",MIN(N(INDEX([1]Parametros!M$16:M$20,MATCH($C41,[1]Parametros!$A$16:$A$20,0)))*$K41,N('[1]ATS USA'!V41)))</f>
        <v>2</v>
      </c>
      <c r="X41" s="10" t="str">
        <f>IF(MIN(N(INDEX([1]Parametros!N$16:N$20,MATCH($C41,[1]Parametros!$A$16:$A$20,0)))*$K41,N('[1]ATS USA'!W41))&lt;=0,"",MIN(N(INDEX([1]Parametros!N$16:N$20,MATCH($C41,[1]Parametros!$A$16:$A$20,0)))*$K41,N('[1]ATS USA'!W41)))</f>
        <v/>
      </c>
      <c r="Y41" s="9" t="str">
        <f>IF(MIN(N(INDEX([1]Parametros!O$16:O$20,MATCH($C41,[1]Parametros!$A$16:$A$20,0)))*$K41,N('[1]ATS USA'!X41))&lt;=0,"",MIN(N(INDEX([1]Parametros!O$16:O$20,MATCH($C41,[1]Parametros!$A$16:$A$20,0)))*$K41,N('[1]ATS USA'!X41)))</f>
        <v/>
      </c>
      <c r="Z41" s="9" t="str">
        <f>IF(MIN(N(INDEX([1]Parametros!P$16:P$20,MATCH($C41,[1]Parametros!$A$16:$A$20,0)))*$K41,N('[1]ATS USA'!Y41))&lt;=0,"",MIN(N(INDEX([1]Parametros!P$16:P$20,MATCH($C41,[1]Parametros!$A$16:$A$20,0)))*$K41,N('[1]ATS USA'!Y41)))</f>
        <v/>
      </c>
      <c r="AA41" s="9" t="str">
        <f>IF(MIN(N(INDEX([1]Parametros!Q$16:Q$20,MATCH($C41,[1]Parametros!$A$16:$A$20,0)))*$K41,N('[1]ATS USA'!Z41))&lt;=0,"",MIN(N(INDEX([1]Parametros!Q$16:Q$20,MATCH($C41,[1]Parametros!$A$16:$A$20,0)))*$K41,N('[1]ATS USA'!Z41)))</f>
        <v/>
      </c>
      <c r="AB41" s="9" t="str">
        <f>IF(MIN(N(INDEX([1]Parametros!R$16:R$20,MATCH($C41,[1]Parametros!$A$16:$A$20,0)))*$K41,N('[1]ATS USA'!AA41))&lt;=0,"",MIN(N(INDEX([1]Parametros!R$16:R$20,MATCH($C41,[1]Parametros!$A$16:$A$20,0)))*$K41,N('[1]ATS USA'!AA41)))</f>
        <v/>
      </c>
      <c r="AC41" s="9" t="str">
        <f>IF(MIN(N(INDEX([1]Parametros!S$16:S$20,MATCH($C41,[1]Parametros!$A$16:$A$20,0)))*$K41,N('[1]ATS USA'!AB41))&lt;=0,"",MIN(N(INDEX([1]Parametros!S$16:S$20,MATCH($C41,[1]Parametros!$A$16:$A$20,0)))*$K41,N('[1]ATS USA'!AB41)))</f>
        <v/>
      </c>
      <c r="AD41" s="9" t="str">
        <f>IF(MIN(N(INDEX([1]Parametros!T$16:T$20,MATCH($C41,[1]Parametros!$A$16:$A$20,0)))*$K41,N('[1]ATS USA'!AC41))&lt;=0,"",MIN(N(INDEX([1]Parametros!T$16:T$20,MATCH($C41,[1]Parametros!$A$16:$A$20,0)))*$K41,N('[1]ATS USA'!AC41)))</f>
        <v/>
      </c>
      <c r="AE41" s="9" t="str">
        <f>IF(MIN(N(INDEX([1]Parametros!U$16:U$20,MATCH($C41,[1]Parametros!$A$16:$A$20,0)))*$K41,N('[1]ATS USA'!AD41))&lt;=0,"",MIN(N(INDEX([1]Parametros!U$16:U$20,MATCH($C41,[1]Parametros!$A$16:$A$20,0)))*$K41,N('[1]ATS USA'!AD41)))</f>
        <v/>
      </c>
      <c r="AF41" s="11">
        <f t="shared" si="5"/>
        <v>24</v>
      </c>
      <c r="AG41" s="12" t="str">
        <f t="shared" si="1"/>
        <v>OK</v>
      </c>
      <c r="AH41" s="6">
        <f t="shared" si="2"/>
        <v>1194</v>
      </c>
      <c r="AI41" s="9">
        <f t="shared" si="3"/>
        <v>0</v>
      </c>
      <c r="AJ41" s="13">
        <f>IF(LEFT($A41,8)="Tránsito",IFERROR(_xlfn.XLOOKUP(--$E41,'[1]Reserva Territorios'!$C:$C,'[1]Reserva Territorios'!$J:$J),0),0)</f>
        <v>0</v>
      </c>
      <c r="AK41" s="13">
        <f t="shared" si="4"/>
        <v>24</v>
      </c>
    </row>
    <row r="42" spans="1:37" ht="48.95" customHeight="1" x14ac:dyDescent="0.25">
      <c r="A42" s="3" t="s">
        <v>37</v>
      </c>
      <c r="B42" s="4" t="s">
        <v>76</v>
      </c>
      <c r="C42" s="4" t="s">
        <v>135</v>
      </c>
      <c r="D42" s="4" t="s">
        <v>81</v>
      </c>
      <c r="E42" s="4" t="s">
        <v>178</v>
      </c>
      <c r="F42" s="4" t="s">
        <v>179</v>
      </c>
      <c r="G42" s="4" t="s">
        <v>180</v>
      </c>
      <c r="H42" s="5">
        <v>27</v>
      </c>
      <c r="I42" s="6">
        <v>150</v>
      </c>
      <c r="J42" s="7">
        <f>ROUND(I42*[1]Parametros!$B$10,-3)</f>
        <v>535000</v>
      </c>
      <c r="K42" s="8">
        <v>1</v>
      </c>
      <c r="L42" s="9" t="str">
        <f>IF(MIN(N(INDEX([1]Parametros!B$16:B$20,MATCH($C42,[1]Parametros!$A$16:$A$20,0)))*$K42,N('[1]ATS USA'!K42))&lt;=0,"",MIN(N(INDEX([1]Parametros!B$16:B$20,MATCH($C42,[1]Parametros!$A$16:$A$20,0)))*$K42,N('[1]ATS USA'!K42)))</f>
        <v/>
      </c>
      <c r="M42" s="9" t="str">
        <f>IF(MIN(N(INDEX([1]Parametros!C$16:C$20,MATCH($C42,[1]Parametros!$A$16:$A$20,0)))*$K42,N('[1]ATS USA'!L42))&lt;=0,"",MIN(N(INDEX([1]Parametros!C$16:C$20,MATCH($C42,[1]Parametros!$A$16:$A$20,0)))*$K42,N('[1]ATS USA'!L42)))</f>
        <v/>
      </c>
      <c r="N42" s="9" t="str">
        <f>IF(MIN(N(INDEX([1]Parametros!D$16:D$20,MATCH($C42,[1]Parametros!$A$16:$A$20,0)))*$K42,N('[1]ATS USA'!M42))&lt;=0,"",MIN(N(INDEX([1]Parametros!D$16:D$20,MATCH($C42,[1]Parametros!$A$16:$A$20,0)))*$K42,N('[1]ATS USA'!M42)))</f>
        <v/>
      </c>
      <c r="O42" s="9" t="str">
        <f>IF(MIN(N(INDEX([1]Parametros!E$16:E$20,MATCH($C42,[1]Parametros!$A$16:$A$20,0)))*$K42,N('[1]ATS USA'!N42))&lt;=0,"",MIN(N(INDEX([1]Parametros!E$16:E$20,MATCH($C42,[1]Parametros!$A$16:$A$20,0)))*$K42,N('[1]ATS USA'!N42)))</f>
        <v/>
      </c>
      <c r="P42" s="10">
        <f>IF(MIN(N(INDEX([1]Parametros!F$16:F$20,MATCH($C42,[1]Parametros!$A$16:$A$20,0)))*$K42,N('[1]ATS USA'!O42))&lt;=0,"",MIN(N(INDEX([1]Parametros!F$16:F$20,MATCH($C42,[1]Parametros!$A$16:$A$20,0)))*$K42,N('[1]ATS USA'!O42)))</f>
        <v>1</v>
      </c>
      <c r="Q42" s="10">
        <f>IF(MIN(N(INDEX([1]Parametros!G$16:G$20,MATCH($C42,[1]Parametros!$A$16:$A$20,0)))*$K42,N('[1]ATS USA'!P42))&lt;=0,"",MIN(N(INDEX([1]Parametros!G$16:G$20,MATCH($C42,[1]Parametros!$A$16:$A$20,0)))*$K42,N('[1]ATS USA'!P42)))</f>
        <v>1</v>
      </c>
      <c r="R42" s="10">
        <f>IF(MIN(N(INDEX([1]Parametros!H$16:H$20,MATCH($C42,[1]Parametros!$A$16:$A$20,0)))*$K42,N('[1]ATS USA'!Q42))&lt;=0,"",MIN(N(INDEX([1]Parametros!H$16:H$20,MATCH($C42,[1]Parametros!$A$16:$A$20,0)))*$K42,N('[1]ATS USA'!Q42)))</f>
        <v>1</v>
      </c>
      <c r="S42" s="10">
        <f>IF(MIN(N(INDEX([1]Parametros!I$16:I$20,MATCH($C42,[1]Parametros!$A$16:$A$20,0)))*$K42,N('[1]ATS USA'!R42))&lt;=0,"",MIN(N(INDEX([1]Parametros!I$16:I$20,MATCH($C42,[1]Parametros!$A$16:$A$20,0)))*$K42,N('[1]ATS USA'!R42)))</f>
        <v>2</v>
      </c>
      <c r="T42" s="10">
        <f>IF(MIN(N(INDEX([1]Parametros!J$16:J$20,MATCH($C42,[1]Parametros!$A$16:$A$20,0)))*$K42,N('[1]ATS USA'!S42))&lt;=0,"",MIN(N(INDEX([1]Parametros!J$16:J$20,MATCH($C42,[1]Parametros!$A$16:$A$20,0)))*$K42,N('[1]ATS USA'!S42)))</f>
        <v>3</v>
      </c>
      <c r="U42" s="10">
        <f>IF(MIN(N(INDEX([1]Parametros!K$16:K$20,MATCH($C42,[1]Parametros!$A$16:$A$20,0)))*$K42,N('[1]ATS USA'!T42))&lt;=0,"",MIN(N(INDEX([1]Parametros!K$16:K$20,MATCH($C42,[1]Parametros!$A$16:$A$20,0)))*$K42,N('[1]ATS USA'!T42)))</f>
        <v>2</v>
      </c>
      <c r="V42" s="10">
        <f>IF(MIN(N(INDEX([1]Parametros!L$16:L$20,MATCH($C42,[1]Parametros!$A$16:$A$20,0)))*$K42,N('[1]ATS USA'!U42))&lt;=0,"",MIN(N(INDEX([1]Parametros!L$16:L$20,MATCH($C42,[1]Parametros!$A$16:$A$20,0)))*$K42,N('[1]ATS USA'!U42)))</f>
        <v>1</v>
      </c>
      <c r="W42" s="9">
        <f>IF(MIN(N(INDEX([1]Parametros!M$16:M$20,MATCH($C42,[1]Parametros!$A$16:$A$20,0)))*$K42,N('[1]ATS USA'!V42))&lt;=0,"",MIN(N(INDEX([1]Parametros!M$16:M$20,MATCH($C42,[1]Parametros!$A$16:$A$20,0)))*$K42,N('[1]ATS USA'!V42)))</f>
        <v>1</v>
      </c>
      <c r="X42" s="10" t="str">
        <f>IF(MIN(N(INDEX([1]Parametros!N$16:N$20,MATCH($C42,[1]Parametros!$A$16:$A$20,0)))*$K42,N('[1]ATS USA'!W42))&lt;=0,"",MIN(N(INDEX([1]Parametros!N$16:N$20,MATCH($C42,[1]Parametros!$A$16:$A$20,0)))*$K42,N('[1]ATS USA'!W42)))</f>
        <v/>
      </c>
      <c r="Y42" s="9" t="str">
        <f>IF(MIN(N(INDEX([1]Parametros!O$16:O$20,MATCH($C42,[1]Parametros!$A$16:$A$20,0)))*$K42,N('[1]ATS USA'!X42))&lt;=0,"",MIN(N(INDEX([1]Parametros!O$16:O$20,MATCH($C42,[1]Parametros!$A$16:$A$20,0)))*$K42,N('[1]ATS USA'!X42)))</f>
        <v/>
      </c>
      <c r="Z42" s="9" t="str">
        <f>IF(MIN(N(INDEX([1]Parametros!P$16:P$20,MATCH($C42,[1]Parametros!$A$16:$A$20,0)))*$K42,N('[1]ATS USA'!Y42))&lt;=0,"",MIN(N(INDEX([1]Parametros!P$16:P$20,MATCH($C42,[1]Parametros!$A$16:$A$20,0)))*$K42,N('[1]ATS USA'!Y42)))</f>
        <v/>
      </c>
      <c r="AA42" s="9" t="str">
        <f>IF(MIN(N(INDEX([1]Parametros!Q$16:Q$20,MATCH($C42,[1]Parametros!$A$16:$A$20,0)))*$K42,N('[1]ATS USA'!Z42))&lt;=0,"",MIN(N(INDEX([1]Parametros!Q$16:Q$20,MATCH($C42,[1]Parametros!$A$16:$A$20,0)))*$K42,N('[1]ATS USA'!Z42)))</f>
        <v/>
      </c>
      <c r="AB42" s="9" t="str">
        <f>IF(MIN(N(INDEX([1]Parametros!R$16:R$20,MATCH($C42,[1]Parametros!$A$16:$A$20,0)))*$K42,N('[1]ATS USA'!AA42))&lt;=0,"",MIN(N(INDEX([1]Parametros!R$16:R$20,MATCH($C42,[1]Parametros!$A$16:$A$20,0)))*$K42,N('[1]ATS USA'!AA42)))</f>
        <v/>
      </c>
      <c r="AC42" s="9" t="str">
        <f>IF(MIN(N(INDEX([1]Parametros!S$16:S$20,MATCH($C42,[1]Parametros!$A$16:$A$20,0)))*$K42,N('[1]ATS USA'!AB42))&lt;=0,"",MIN(N(INDEX([1]Parametros!S$16:S$20,MATCH($C42,[1]Parametros!$A$16:$A$20,0)))*$K42,N('[1]ATS USA'!AB42)))</f>
        <v/>
      </c>
      <c r="AD42" s="9" t="str">
        <f>IF(MIN(N(INDEX([1]Parametros!T$16:T$20,MATCH($C42,[1]Parametros!$A$16:$A$20,0)))*$K42,N('[1]ATS USA'!AC42))&lt;=0,"",MIN(N(INDEX([1]Parametros!T$16:T$20,MATCH($C42,[1]Parametros!$A$16:$A$20,0)))*$K42,N('[1]ATS USA'!AC42)))</f>
        <v/>
      </c>
      <c r="AE42" s="9" t="str">
        <f>IF(MIN(N(INDEX([1]Parametros!U$16:U$20,MATCH($C42,[1]Parametros!$A$16:$A$20,0)))*$K42,N('[1]ATS USA'!AD42))&lt;=0,"",MIN(N(INDEX([1]Parametros!U$16:U$20,MATCH($C42,[1]Parametros!$A$16:$A$20,0)))*$K42,N('[1]ATS USA'!AD42)))</f>
        <v/>
      </c>
      <c r="AF42" s="11">
        <f t="shared" si="5"/>
        <v>12</v>
      </c>
      <c r="AG42" s="12" t="str">
        <f t="shared" si="1"/>
        <v>OK</v>
      </c>
      <c r="AH42" s="6">
        <f t="shared" si="2"/>
        <v>324</v>
      </c>
      <c r="AI42" s="9">
        <f t="shared" si="3"/>
        <v>0</v>
      </c>
      <c r="AJ42" s="13">
        <f>IF(LEFT($A42,8)="Tránsito",IFERROR(_xlfn.XLOOKUP(--$E42,'[1]Reserva Territorios'!$C:$C,'[1]Reserva Territorios'!$J:$J),0),0)</f>
        <v>0</v>
      </c>
      <c r="AK42" s="13">
        <f t="shared" si="4"/>
        <v>12</v>
      </c>
    </row>
    <row r="43" spans="1:37" ht="48.95" hidden="1" customHeight="1" x14ac:dyDescent="0.25">
      <c r="A43" s="3" t="s">
        <v>37</v>
      </c>
      <c r="B43" s="4" t="s">
        <v>76</v>
      </c>
      <c r="C43" s="4" t="s">
        <v>135</v>
      </c>
      <c r="D43" s="4" t="s">
        <v>85</v>
      </c>
      <c r="E43" s="4" t="s">
        <v>181</v>
      </c>
      <c r="F43" s="4" t="s">
        <v>182</v>
      </c>
      <c r="G43" s="4" t="s">
        <v>183</v>
      </c>
      <c r="H43" s="5">
        <v>58.5</v>
      </c>
      <c r="I43" s="6">
        <v>190</v>
      </c>
      <c r="J43" s="7">
        <f>ROUND(I43*[1]Parametros!$B$10,-3)</f>
        <v>678000</v>
      </c>
      <c r="K43" s="8">
        <v>0</v>
      </c>
      <c r="L43" s="9" t="str">
        <f>IF(MIN(N(INDEX([1]Parametros!B$16:B$20,MATCH($C43,[1]Parametros!$A$16:$A$20,0)))*$K43,N('[1]ATS USA'!K43))&lt;=0,"",MIN(N(INDEX([1]Parametros!B$16:B$20,MATCH($C43,[1]Parametros!$A$16:$A$20,0)))*$K43,N('[1]ATS USA'!K43)))</f>
        <v/>
      </c>
      <c r="M43" s="9" t="str">
        <f>IF(MIN(N(INDEX([1]Parametros!C$16:C$20,MATCH($C43,[1]Parametros!$A$16:$A$20,0)))*$K43,N('[1]ATS USA'!L43))&lt;=0,"",MIN(N(INDEX([1]Parametros!C$16:C$20,MATCH($C43,[1]Parametros!$A$16:$A$20,0)))*$K43,N('[1]ATS USA'!L43)))</f>
        <v/>
      </c>
      <c r="N43" s="9" t="str">
        <f>IF(MIN(N(INDEX([1]Parametros!D$16:D$20,MATCH($C43,[1]Parametros!$A$16:$A$20,0)))*$K43,N('[1]ATS USA'!M43))&lt;=0,"",MIN(N(INDEX([1]Parametros!D$16:D$20,MATCH($C43,[1]Parametros!$A$16:$A$20,0)))*$K43,N('[1]ATS USA'!M43)))</f>
        <v/>
      </c>
      <c r="O43" s="9" t="str">
        <f>IF(MIN(N(INDEX([1]Parametros!E$16:E$20,MATCH($C43,[1]Parametros!$A$16:$A$20,0)))*$K43,N('[1]ATS USA'!N43))&lt;=0,"",MIN(N(INDEX([1]Parametros!E$16:E$20,MATCH($C43,[1]Parametros!$A$16:$A$20,0)))*$K43,N('[1]ATS USA'!N43)))</f>
        <v/>
      </c>
      <c r="P43" s="10" t="str">
        <f>IF(MIN(N(INDEX([1]Parametros!F$16:F$20,MATCH($C43,[1]Parametros!$A$16:$A$20,0)))*$K43,N('[1]ATS USA'!O43))&lt;=0,"",MIN(N(INDEX([1]Parametros!F$16:F$20,MATCH($C43,[1]Parametros!$A$16:$A$20,0)))*$K43,N('[1]ATS USA'!O43)))</f>
        <v/>
      </c>
      <c r="Q43" s="10" t="str">
        <f>IF(MIN(N(INDEX([1]Parametros!G$16:G$20,MATCH($C43,[1]Parametros!$A$16:$A$20,0)))*$K43,N('[1]ATS USA'!P43))&lt;=0,"",MIN(N(INDEX([1]Parametros!G$16:G$20,MATCH($C43,[1]Parametros!$A$16:$A$20,0)))*$K43,N('[1]ATS USA'!P43)))</f>
        <v/>
      </c>
      <c r="R43" s="10" t="str">
        <f>IF(MIN(N(INDEX([1]Parametros!H$16:H$20,MATCH($C43,[1]Parametros!$A$16:$A$20,0)))*$K43,N('[1]ATS USA'!Q43))&lt;=0,"",MIN(N(INDEX([1]Parametros!H$16:H$20,MATCH($C43,[1]Parametros!$A$16:$A$20,0)))*$K43,N('[1]ATS USA'!Q43)))</f>
        <v/>
      </c>
      <c r="S43" s="10" t="str">
        <f>IF(MIN(N(INDEX([1]Parametros!I$16:I$20,MATCH($C43,[1]Parametros!$A$16:$A$20,0)))*$K43,N('[1]ATS USA'!R43))&lt;=0,"",MIN(N(INDEX([1]Parametros!I$16:I$20,MATCH($C43,[1]Parametros!$A$16:$A$20,0)))*$K43,N('[1]ATS USA'!R43)))</f>
        <v/>
      </c>
      <c r="T43" s="10" t="str">
        <f>IF(MIN(N(INDEX([1]Parametros!J$16:J$20,MATCH($C43,[1]Parametros!$A$16:$A$20,0)))*$K43,N('[1]ATS USA'!S43))&lt;=0,"",MIN(N(INDEX([1]Parametros!J$16:J$20,MATCH($C43,[1]Parametros!$A$16:$A$20,0)))*$K43,N('[1]ATS USA'!S43)))</f>
        <v/>
      </c>
      <c r="U43" s="10" t="str">
        <f>IF(MIN(N(INDEX([1]Parametros!K$16:K$20,MATCH($C43,[1]Parametros!$A$16:$A$20,0)))*$K43,N('[1]ATS USA'!T43))&lt;=0,"",MIN(N(INDEX([1]Parametros!K$16:K$20,MATCH($C43,[1]Parametros!$A$16:$A$20,0)))*$K43,N('[1]ATS USA'!T43)))</f>
        <v/>
      </c>
      <c r="V43" s="10" t="str">
        <f>IF(MIN(N(INDEX([1]Parametros!L$16:L$20,MATCH($C43,[1]Parametros!$A$16:$A$20,0)))*$K43,N('[1]ATS USA'!U43))&lt;=0,"",MIN(N(INDEX([1]Parametros!L$16:L$20,MATCH($C43,[1]Parametros!$A$16:$A$20,0)))*$K43,N('[1]ATS USA'!U43)))</f>
        <v/>
      </c>
      <c r="W43" s="9" t="str">
        <f>IF(MIN(N(INDEX([1]Parametros!M$16:M$20,MATCH($C43,[1]Parametros!$A$16:$A$20,0)))*$K43,N('[1]ATS USA'!V43))&lt;=0,"",MIN(N(INDEX([1]Parametros!M$16:M$20,MATCH($C43,[1]Parametros!$A$16:$A$20,0)))*$K43,N('[1]ATS USA'!V43)))</f>
        <v/>
      </c>
      <c r="X43" s="10" t="str">
        <f>IF(MIN(N(INDEX([1]Parametros!N$16:N$20,MATCH($C43,[1]Parametros!$A$16:$A$20,0)))*$K43,N('[1]ATS USA'!W43))&lt;=0,"",MIN(N(INDEX([1]Parametros!N$16:N$20,MATCH($C43,[1]Parametros!$A$16:$A$20,0)))*$K43,N('[1]ATS USA'!W43)))</f>
        <v/>
      </c>
      <c r="Y43" s="9" t="str">
        <f>IF(MIN(N(INDEX([1]Parametros!O$16:O$20,MATCH($C43,[1]Parametros!$A$16:$A$20,0)))*$K43,N('[1]ATS USA'!X43))&lt;=0,"",MIN(N(INDEX([1]Parametros!O$16:O$20,MATCH($C43,[1]Parametros!$A$16:$A$20,0)))*$K43,N('[1]ATS USA'!X43)))</f>
        <v/>
      </c>
      <c r="Z43" s="9" t="str">
        <f>IF(MIN(N(INDEX([1]Parametros!P$16:P$20,MATCH($C43,[1]Parametros!$A$16:$A$20,0)))*$K43,N('[1]ATS USA'!Y43))&lt;=0,"",MIN(N(INDEX([1]Parametros!P$16:P$20,MATCH($C43,[1]Parametros!$A$16:$A$20,0)))*$K43,N('[1]ATS USA'!Y43)))</f>
        <v/>
      </c>
      <c r="AA43" s="9" t="str">
        <f>IF(MIN(N(INDEX([1]Parametros!Q$16:Q$20,MATCH($C43,[1]Parametros!$A$16:$A$20,0)))*$K43,N('[1]ATS USA'!Z43))&lt;=0,"",MIN(N(INDEX([1]Parametros!Q$16:Q$20,MATCH($C43,[1]Parametros!$A$16:$A$20,0)))*$K43,N('[1]ATS USA'!Z43)))</f>
        <v/>
      </c>
      <c r="AB43" s="9" t="str">
        <f>IF(MIN(N(INDEX([1]Parametros!R$16:R$20,MATCH($C43,[1]Parametros!$A$16:$A$20,0)))*$K43,N('[1]ATS USA'!AA43))&lt;=0,"",MIN(N(INDEX([1]Parametros!R$16:R$20,MATCH($C43,[1]Parametros!$A$16:$A$20,0)))*$K43,N('[1]ATS USA'!AA43)))</f>
        <v/>
      </c>
      <c r="AC43" s="9" t="str">
        <f>IF(MIN(N(INDEX([1]Parametros!S$16:S$20,MATCH($C43,[1]Parametros!$A$16:$A$20,0)))*$K43,N('[1]ATS USA'!AB43))&lt;=0,"",MIN(N(INDEX([1]Parametros!S$16:S$20,MATCH($C43,[1]Parametros!$A$16:$A$20,0)))*$K43,N('[1]ATS USA'!AB43)))</f>
        <v/>
      </c>
      <c r="AD43" s="9" t="str">
        <f>IF(MIN(N(INDEX([1]Parametros!T$16:T$20,MATCH($C43,[1]Parametros!$A$16:$A$20,0)))*$K43,N('[1]ATS USA'!AC43))&lt;=0,"",MIN(N(INDEX([1]Parametros!T$16:T$20,MATCH($C43,[1]Parametros!$A$16:$A$20,0)))*$K43,N('[1]ATS USA'!AC43)))</f>
        <v/>
      </c>
      <c r="AE43" s="9" t="str">
        <f>IF(MIN(N(INDEX([1]Parametros!U$16:U$20,MATCH($C43,[1]Parametros!$A$16:$A$20,0)))*$K43,N('[1]ATS USA'!AD43))&lt;=0,"",MIN(N(INDEX([1]Parametros!U$16:U$20,MATCH($C43,[1]Parametros!$A$16:$A$20,0)))*$K43,N('[1]ATS USA'!AD43)))</f>
        <v/>
      </c>
      <c r="AF43" s="11">
        <f t="shared" si="5"/>
        <v>0</v>
      </c>
      <c r="AG43" s="12" t="str">
        <f t="shared" si="1"/>
        <v>OK</v>
      </c>
      <c r="AH43" s="6">
        <f t="shared" si="2"/>
        <v>0</v>
      </c>
      <c r="AI43" s="9">
        <f t="shared" si="3"/>
        <v>0</v>
      </c>
      <c r="AJ43" s="13">
        <f>IF(LEFT($A43,8)="Tránsito",IFERROR(_xlfn.XLOOKUP(--$E43,'[1]Reserva Territorios'!$C:$C,'[1]Reserva Territorios'!$J:$J),0),0)</f>
        <v>0</v>
      </c>
      <c r="AK43" s="13">
        <f t="shared" si="4"/>
        <v>0</v>
      </c>
    </row>
    <row r="44" spans="1:37" ht="48.95" hidden="1" customHeight="1" x14ac:dyDescent="0.25">
      <c r="A44" s="3" t="s">
        <v>37</v>
      </c>
      <c r="B44" s="4" t="s">
        <v>76</v>
      </c>
      <c r="C44" s="4" t="s">
        <v>135</v>
      </c>
      <c r="D44" s="4" t="s">
        <v>88</v>
      </c>
      <c r="E44" s="4" t="s">
        <v>184</v>
      </c>
      <c r="F44" s="4" t="s">
        <v>185</v>
      </c>
      <c r="G44" s="4" t="s">
        <v>186</v>
      </c>
      <c r="H44" s="5">
        <v>55.5</v>
      </c>
      <c r="I44" s="6">
        <v>180</v>
      </c>
      <c r="J44" s="7">
        <f>ROUND(I44*[1]Parametros!$B$10,-3)</f>
        <v>642000</v>
      </c>
      <c r="K44" s="8">
        <v>0</v>
      </c>
      <c r="L44" s="9" t="str">
        <f>IF(MIN(N(INDEX([1]Parametros!B$16:B$20,MATCH($C44,[1]Parametros!$A$16:$A$20,0)))*$K44,N('[1]ATS USA'!K44))&lt;=0,"",MIN(N(INDEX([1]Parametros!B$16:B$20,MATCH($C44,[1]Parametros!$A$16:$A$20,0)))*$K44,N('[1]ATS USA'!K44)))</f>
        <v/>
      </c>
      <c r="M44" s="9" t="str">
        <f>IF(MIN(N(INDEX([1]Parametros!C$16:C$20,MATCH($C44,[1]Parametros!$A$16:$A$20,0)))*$K44,N('[1]ATS USA'!L44))&lt;=0,"",MIN(N(INDEX([1]Parametros!C$16:C$20,MATCH($C44,[1]Parametros!$A$16:$A$20,0)))*$K44,N('[1]ATS USA'!L44)))</f>
        <v/>
      </c>
      <c r="N44" s="9" t="str">
        <f>IF(MIN(N(INDEX([1]Parametros!D$16:D$20,MATCH($C44,[1]Parametros!$A$16:$A$20,0)))*$K44,N('[1]ATS USA'!M44))&lt;=0,"",MIN(N(INDEX([1]Parametros!D$16:D$20,MATCH($C44,[1]Parametros!$A$16:$A$20,0)))*$K44,N('[1]ATS USA'!M44)))</f>
        <v/>
      </c>
      <c r="O44" s="9" t="str">
        <f>IF(MIN(N(INDEX([1]Parametros!E$16:E$20,MATCH($C44,[1]Parametros!$A$16:$A$20,0)))*$K44,N('[1]ATS USA'!N44))&lt;=0,"",MIN(N(INDEX([1]Parametros!E$16:E$20,MATCH($C44,[1]Parametros!$A$16:$A$20,0)))*$K44,N('[1]ATS USA'!N44)))</f>
        <v/>
      </c>
      <c r="P44" s="10" t="str">
        <f>IF(MIN(N(INDEX([1]Parametros!F$16:F$20,MATCH($C44,[1]Parametros!$A$16:$A$20,0)))*$K44,N('[1]ATS USA'!O44))&lt;=0,"",MIN(N(INDEX([1]Parametros!F$16:F$20,MATCH($C44,[1]Parametros!$A$16:$A$20,0)))*$K44,N('[1]ATS USA'!O44)))</f>
        <v/>
      </c>
      <c r="Q44" s="10" t="str">
        <f>IF(MIN(N(INDEX([1]Parametros!G$16:G$20,MATCH($C44,[1]Parametros!$A$16:$A$20,0)))*$K44,N('[1]ATS USA'!P44))&lt;=0,"",MIN(N(INDEX([1]Parametros!G$16:G$20,MATCH($C44,[1]Parametros!$A$16:$A$20,0)))*$K44,N('[1]ATS USA'!P44)))</f>
        <v/>
      </c>
      <c r="R44" s="9" t="str">
        <f>IF(MIN(N(INDEX([1]Parametros!H$16:H$20,MATCH($C44,[1]Parametros!$A$16:$A$20,0)))*$K44,N('[1]ATS USA'!Q44))&lt;=0,"",MIN(N(INDEX([1]Parametros!H$16:H$20,MATCH($C44,[1]Parametros!$A$16:$A$20,0)))*$K44,N('[1]ATS USA'!Q44)))</f>
        <v/>
      </c>
      <c r="S44" s="10" t="str">
        <f>IF(MIN(N(INDEX([1]Parametros!I$16:I$20,MATCH($C44,[1]Parametros!$A$16:$A$20,0)))*$K44,N('[1]ATS USA'!R44))&lt;=0,"",MIN(N(INDEX([1]Parametros!I$16:I$20,MATCH($C44,[1]Parametros!$A$16:$A$20,0)))*$K44,N('[1]ATS USA'!R44)))</f>
        <v/>
      </c>
      <c r="T44" s="10" t="str">
        <f>IF(MIN(N(INDEX([1]Parametros!J$16:J$20,MATCH($C44,[1]Parametros!$A$16:$A$20,0)))*$K44,N('[1]ATS USA'!S44))&lt;=0,"",MIN(N(INDEX([1]Parametros!J$16:J$20,MATCH($C44,[1]Parametros!$A$16:$A$20,0)))*$K44,N('[1]ATS USA'!S44)))</f>
        <v/>
      </c>
      <c r="U44" s="10" t="str">
        <f>IF(MIN(N(INDEX([1]Parametros!K$16:K$20,MATCH($C44,[1]Parametros!$A$16:$A$20,0)))*$K44,N('[1]ATS USA'!T44))&lt;=0,"",MIN(N(INDEX([1]Parametros!K$16:K$20,MATCH($C44,[1]Parametros!$A$16:$A$20,0)))*$K44,N('[1]ATS USA'!T44)))</f>
        <v/>
      </c>
      <c r="V44" s="10" t="str">
        <f>IF(MIN(N(INDEX([1]Parametros!L$16:L$20,MATCH($C44,[1]Parametros!$A$16:$A$20,0)))*$K44,N('[1]ATS USA'!U44))&lt;=0,"",MIN(N(INDEX([1]Parametros!L$16:L$20,MATCH($C44,[1]Parametros!$A$16:$A$20,0)))*$K44,N('[1]ATS USA'!U44)))</f>
        <v/>
      </c>
      <c r="W44" s="9" t="str">
        <f>IF(MIN(N(INDEX([1]Parametros!M$16:M$20,MATCH($C44,[1]Parametros!$A$16:$A$20,0)))*$K44,N('[1]ATS USA'!V44))&lt;=0,"",MIN(N(INDEX([1]Parametros!M$16:M$20,MATCH($C44,[1]Parametros!$A$16:$A$20,0)))*$K44,N('[1]ATS USA'!V44)))</f>
        <v/>
      </c>
      <c r="X44" s="10" t="str">
        <f>IF(MIN(N(INDEX([1]Parametros!N$16:N$20,MATCH($C44,[1]Parametros!$A$16:$A$20,0)))*$K44,N('[1]ATS USA'!W44))&lt;=0,"",MIN(N(INDEX([1]Parametros!N$16:N$20,MATCH($C44,[1]Parametros!$A$16:$A$20,0)))*$K44,N('[1]ATS USA'!W44)))</f>
        <v/>
      </c>
      <c r="Y44" s="9" t="str">
        <f>IF(MIN(N(INDEX([1]Parametros!O$16:O$20,MATCH($C44,[1]Parametros!$A$16:$A$20,0)))*$K44,N('[1]ATS USA'!X44))&lt;=0,"",MIN(N(INDEX([1]Parametros!O$16:O$20,MATCH($C44,[1]Parametros!$A$16:$A$20,0)))*$K44,N('[1]ATS USA'!X44)))</f>
        <v/>
      </c>
      <c r="Z44" s="9" t="str">
        <f>IF(MIN(N(INDEX([1]Parametros!P$16:P$20,MATCH($C44,[1]Parametros!$A$16:$A$20,0)))*$K44,N('[1]ATS USA'!Y44))&lt;=0,"",MIN(N(INDEX([1]Parametros!P$16:P$20,MATCH($C44,[1]Parametros!$A$16:$A$20,0)))*$K44,N('[1]ATS USA'!Y44)))</f>
        <v/>
      </c>
      <c r="AA44" s="9" t="str">
        <f>IF(MIN(N(INDEX([1]Parametros!Q$16:Q$20,MATCH($C44,[1]Parametros!$A$16:$A$20,0)))*$K44,N('[1]ATS USA'!Z44))&lt;=0,"",MIN(N(INDEX([1]Parametros!Q$16:Q$20,MATCH($C44,[1]Parametros!$A$16:$A$20,0)))*$K44,N('[1]ATS USA'!Z44)))</f>
        <v/>
      </c>
      <c r="AB44" s="9" t="str">
        <f>IF(MIN(N(INDEX([1]Parametros!R$16:R$20,MATCH($C44,[1]Parametros!$A$16:$A$20,0)))*$K44,N('[1]ATS USA'!AA44))&lt;=0,"",MIN(N(INDEX([1]Parametros!R$16:R$20,MATCH($C44,[1]Parametros!$A$16:$A$20,0)))*$K44,N('[1]ATS USA'!AA44)))</f>
        <v/>
      </c>
      <c r="AC44" s="9" t="str">
        <f>IF(MIN(N(INDEX([1]Parametros!S$16:S$20,MATCH($C44,[1]Parametros!$A$16:$A$20,0)))*$K44,N('[1]ATS USA'!AB44))&lt;=0,"",MIN(N(INDEX([1]Parametros!S$16:S$20,MATCH($C44,[1]Parametros!$A$16:$A$20,0)))*$K44,N('[1]ATS USA'!AB44)))</f>
        <v/>
      </c>
      <c r="AD44" s="9" t="str">
        <f>IF(MIN(N(INDEX([1]Parametros!T$16:T$20,MATCH($C44,[1]Parametros!$A$16:$A$20,0)))*$K44,N('[1]ATS USA'!AC44))&lt;=0,"",MIN(N(INDEX([1]Parametros!T$16:T$20,MATCH($C44,[1]Parametros!$A$16:$A$20,0)))*$K44,N('[1]ATS USA'!AC44)))</f>
        <v/>
      </c>
      <c r="AE44" s="9" t="str">
        <f>IF(MIN(N(INDEX([1]Parametros!U$16:U$20,MATCH($C44,[1]Parametros!$A$16:$A$20,0)))*$K44,N('[1]ATS USA'!AD44))&lt;=0,"",MIN(N(INDEX([1]Parametros!U$16:U$20,MATCH($C44,[1]Parametros!$A$16:$A$20,0)))*$K44,N('[1]ATS USA'!AD44)))</f>
        <v/>
      </c>
      <c r="AF44" s="11">
        <f t="shared" si="5"/>
        <v>0</v>
      </c>
      <c r="AG44" s="12" t="str">
        <f t="shared" si="1"/>
        <v>OK</v>
      </c>
      <c r="AH44" s="6">
        <f t="shared" si="2"/>
        <v>0</v>
      </c>
      <c r="AI44" s="9">
        <f t="shared" si="3"/>
        <v>0</v>
      </c>
      <c r="AJ44" s="13">
        <f>IF(LEFT($A44,8)="Tránsito",IFERROR(_xlfn.XLOOKUP(--$E44,'[1]Reserva Territorios'!$C:$C,'[1]Reserva Territorios'!$J:$J),0),0)</f>
        <v>0</v>
      </c>
      <c r="AK44" s="13">
        <f t="shared" si="4"/>
        <v>0</v>
      </c>
    </row>
    <row r="45" spans="1:37" ht="48.95" customHeight="1" x14ac:dyDescent="0.25">
      <c r="A45" s="3" t="s">
        <v>37</v>
      </c>
      <c r="B45" s="4" t="s">
        <v>76</v>
      </c>
      <c r="C45" s="4" t="s">
        <v>135</v>
      </c>
      <c r="D45" s="4" t="s">
        <v>102</v>
      </c>
      <c r="E45" s="4" t="s">
        <v>187</v>
      </c>
      <c r="F45" s="4" t="s">
        <v>188</v>
      </c>
      <c r="G45" s="4" t="s">
        <v>189</v>
      </c>
      <c r="H45" s="5">
        <v>51</v>
      </c>
      <c r="I45" s="6">
        <v>170</v>
      </c>
      <c r="J45" s="7">
        <f>ROUND(I45*[1]Parametros!$B$10,-3)</f>
        <v>607000</v>
      </c>
      <c r="K45" s="8">
        <v>1</v>
      </c>
      <c r="L45" s="9" t="str">
        <f>IF(MIN(N(INDEX([1]Parametros!B$16:B$20,MATCH($C45,[1]Parametros!$A$16:$A$20,0)))*$K45,N('[1]ATS USA'!K45))&lt;=0,"",MIN(N(INDEX([1]Parametros!B$16:B$20,MATCH($C45,[1]Parametros!$A$16:$A$20,0)))*$K45,N('[1]ATS USA'!K45)))</f>
        <v/>
      </c>
      <c r="M45" s="9" t="str">
        <f>IF(MIN(N(INDEX([1]Parametros!C$16:C$20,MATCH($C45,[1]Parametros!$A$16:$A$20,0)))*$K45,N('[1]ATS USA'!L45))&lt;=0,"",MIN(N(INDEX([1]Parametros!C$16:C$20,MATCH($C45,[1]Parametros!$A$16:$A$20,0)))*$K45,N('[1]ATS USA'!L45)))</f>
        <v/>
      </c>
      <c r="N45" s="9" t="str">
        <f>IF(MIN(N(INDEX([1]Parametros!D$16:D$20,MATCH($C45,[1]Parametros!$A$16:$A$20,0)))*$K45,N('[1]ATS USA'!M45))&lt;=0,"",MIN(N(INDEX([1]Parametros!D$16:D$20,MATCH($C45,[1]Parametros!$A$16:$A$20,0)))*$K45,N('[1]ATS USA'!M45)))</f>
        <v/>
      </c>
      <c r="O45" s="9" t="str">
        <f>IF(MIN(N(INDEX([1]Parametros!E$16:E$20,MATCH($C45,[1]Parametros!$A$16:$A$20,0)))*$K45,N('[1]ATS USA'!N45))&lt;=0,"",MIN(N(INDEX([1]Parametros!E$16:E$20,MATCH($C45,[1]Parametros!$A$16:$A$20,0)))*$K45,N('[1]ATS USA'!N45)))</f>
        <v/>
      </c>
      <c r="P45" s="10">
        <f>IF(MIN(N(INDEX([1]Parametros!F$16:F$20,MATCH($C45,[1]Parametros!$A$16:$A$20,0)))*$K45,N('[1]ATS USA'!O45))&lt;=0,"",MIN(N(INDEX([1]Parametros!F$16:F$20,MATCH($C45,[1]Parametros!$A$16:$A$20,0)))*$K45,N('[1]ATS USA'!O45)))</f>
        <v>1</v>
      </c>
      <c r="Q45" s="9" t="str">
        <f>IF(MIN(N(INDEX([1]Parametros!G$16:G$20,MATCH($C45,[1]Parametros!$A$16:$A$20,0)))*$K45,N('[1]ATS USA'!P45))&lt;=0,"",MIN(N(INDEX([1]Parametros!G$16:G$20,MATCH($C45,[1]Parametros!$A$16:$A$20,0)))*$K45,N('[1]ATS USA'!P45)))</f>
        <v/>
      </c>
      <c r="R45" s="10">
        <f>IF(MIN(N(INDEX([1]Parametros!H$16:H$20,MATCH($C45,[1]Parametros!$A$16:$A$20,0)))*$K45,N('[1]ATS USA'!Q45))&lt;=0,"",MIN(N(INDEX([1]Parametros!H$16:H$20,MATCH($C45,[1]Parametros!$A$16:$A$20,0)))*$K45,N('[1]ATS USA'!Q45)))</f>
        <v>1</v>
      </c>
      <c r="S45" s="10">
        <f>IF(MIN(N(INDEX([1]Parametros!I$16:I$20,MATCH($C45,[1]Parametros!$A$16:$A$20,0)))*$K45,N('[1]ATS USA'!R45))&lt;=0,"",MIN(N(INDEX([1]Parametros!I$16:I$20,MATCH($C45,[1]Parametros!$A$16:$A$20,0)))*$K45,N('[1]ATS USA'!R45)))</f>
        <v>2</v>
      </c>
      <c r="T45" s="10">
        <f>IF(MIN(N(INDEX([1]Parametros!J$16:J$20,MATCH($C45,[1]Parametros!$A$16:$A$20,0)))*$K45,N('[1]ATS USA'!S45))&lt;=0,"",MIN(N(INDEX([1]Parametros!J$16:J$20,MATCH($C45,[1]Parametros!$A$16:$A$20,0)))*$K45,N('[1]ATS USA'!S45)))</f>
        <v>3</v>
      </c>
      <c r="U45" s="10">
        <f>IF(MIN(N(INDEX([1]Parametros!K$16:K$20,MATCH($C45,[1]Parametros!$A$16:$A$20,0)))*$K45,N('[1]ATS USA'!T45))&lt;=0,"",MIN(N(INDEX([1]Parametros!K$16:K$20,MATCH($C45,[1]Parametros!$A$16:$A$20,0)))*$K45,N('[1]ATS USA'!T45)))</f>
        <v>2</v>
      </c>
      <c r="V45" s="10">
        <f>IF(MIN(N(INDEX([1]Parametros!L$16:L$20,MATCH($C45,[1]Parametros!$A$16:$A$20,0)))*$K45,N('[1]ATS USA'!U45))&lt;=0,"",MIN(N(INDEX([1]Parametros!L$16:L$20,MATCH($C45,[1]Parametros!$A$16:$A$20,0)))*$K45,N('[1]ATS USA'!U45)))</f>
        <v>1</v>
      </c>
      <c r="W45" s="9">
        <f>IF(MIN(N(INDEX([1]Parametros!M$16:M$20,MATCH($C45,[1]Parametros!$A$16:$A$20,0)))*$K45,N('[1]ATS USA'!V45))&lt;=0,"",MIN(N(INDEX([1]Parametros!M$16:M$20,MATCH($C45,[1]Parametros!$A$16:$A$20,0)))*$K45,N('[1]ATS USA'!V45)))</f>
        <v>1</v>
      </c>
      <c r="X45" s="10" t="str">
        <f>IF(MIN(N(INDEX([1]Parametros!N$16:N$20,MATCH($C45,[1]Parametros!$A$16:$A$20,0)))*$K45,N('[1]ATS USA'!W45))&lt;=0,"",MIN(N(INDEX([1]Parametros!N$16:N$20,MATCH($C45,[1]Parametros!$A$16:$A$20,0)))*$K45,N('[1]ATS USA'!W45)))</f>
        <v/>
      </c>
      <c r="Y45" s="9" t="str">
        <f>IF(MIN(N(INDEX([1]Parametros!O$16:O$20,MATCH($C45,[1]Parametros!$A$16:$A$20,0)))*$K45,N('[1]ATS USA'!X45))&lt;=0,"",MIN(N(INDEX([1]Parametros!O$16:O$20,MATCH($C45,[1]Parametros!$A$16:$A$20,0)))*$K45,N('[1]ATS USA'!X45)))</f>
        <v/>
      </c>
      <c r="Z45" s="9" t="str">
        <f>IF(MIN(N(INDEX([1]Parametros!P$16:P$20,MATCH($C45,[1]Parametros!$A$16:$A$20,0)))*$K45,N('[1]ATS USA'!Y45))&lt;=0,"",MIN(N(INDEX([1]Parametros!P$16:P$20,MATCH($C45,[1]Parametros!$A$16:$A$20,0)))*$K45,N('[1]ATS USA'!Y45)))</f>
        <v/>
      </c>
      <c r="AA45" s="9" t="str">
        <f>IF(MIN(N(INDEX([1]Parametros!Q$16:Q$20,MATCH($C45,[1]Parametros!$A$16:$A$20,0)))*$K45,N('[1]ATS USA'!Z45))&lt;=0,"",MIN(N(INDEX([1]Parametros!Q$16:Q$20,MATCH($C45,[1]Parametros!$A$16:$A$20,0)))*$K45,N('[1]ATS USA'!Z45)))</f>
        <v/>
      </c>
      <c r="AB45" s="9" t="str">
        <f>IF(MIN(N(INDEX([1]Parametros!R$16:R$20,MATCH($C45,[1]Parametros!$A$16:$A$20,0)))*$K45,N('[1]ATS USA'!AA45))&lt;=0,"",MIN(N(INDEX([1]Parametros!R$16:R$20,MATCH($C45,[1]Parametros!$A$16:$A$20,0)))*$K45,N('[1]ATS USA'!AA45)))</f>
        <v/>
      </c>
      <c r="AC45" s="9" t="str">
        <f>IF(MIN(N(INDEX([1]Parametros!S$16:S$20,MATCH($C45,[1]Parametros!$A$16:$A$20,0)))*$K45,N('[1]ATS USA'!AB45))&lt;=0,"",MIN(N(INDEX([1]Parametros!S$16:S$20,MATCH($C45,[1]Parametros!$A$16:$A$20,0)))*$K45,N('[1]ATS USA'!AB45)))</f>
        <v/>
      </c>
      <c r="AD45" s="9" t="str">
        <f>IF(MIN(N(INDEX([1]Parametros!T$16:T$20,MATCH($C45,[1]Parametros!$A$16:$A$20,0)))*$K45,N('[1]ATS USA'!AC45))&lt;=0,"",MIN(N(INDEX([1]Parametros!T$16:T$20,MATCH($C45,[1]Parametros!$A$16:$A$20,0)))*$K45,N('[1]ATS USA'!AC45)))</f>
        <v/>
      </c>
      <c r="AE45" s="9" t="str">
        <f>IF(MIN(N(INDEX([1]Parametros!U$16:U$20,MATCH($C45,[1]Parametros!$A$16:$A$20,0)))*$K45,N('[1]ATS USA'!AD45))&lt;=0,"",MIN(N(INDEX([1]Parametros!U$16:U$20,MATCH($C45,[1]Parametros!$A$16:$A$20,0)))*$K45,N('[1]ATS USA'!AD45)))</f>
        <v/>
      </c>
      <c r="AF45" s="11">
        <f t="shared" si="5"/>
        <v>11</v>
      </c>
      <c r="AG45" s="12" t="str">
        <f t="shared" si="1"/>
        <v>AJUSTAR</v>
      </c>
      <c r="AH45" s="6">
        <f t="shared" si="2"/>
        <v>561</v>
      </c>
      <c r="AI45" s="9">
        <f t="shared" si="3"/>
        <v>1</v>
      </c>
      <c r="AJ45" s="13">
        <f>IF(LEFT($A45,8)="Tránsito",IFERROR(_xlfn.XLOOKUP(--$E45,'[1]Reserva Territorios'!$C:$C,'[1]Reserva Territorios'!$J:$J),0),0)</f>
        <v>0</v>
      </c>
      <c r="AK45" s="13">
        <f t="shared" si="4"/>
        <v>11</v>
      </c>
    </row>
    <row r="46" spans="1:37" ht="48.95" customHeight="1" x14ac:dyDescent="0.25">
      <c r="A46" s="3" t="s">
        <v>37</v>
      </c>
      <c r="B46" s="4" t="s">
        <v>76</v>
      </c>
      <c r="C46" s="4" t="s">
        <v>135</v>
      </c>
      <c r="D46" s="4" t="s">
        <v>106</v>
      </c>
      <c r="E46" s="4" t="s">
        <v>190</v>
      </c>
      <c r="F46" s="4" t="s">
        <v>191</v>
      </c>
      <c r="G46" s="4" t="s">
        <v>189</v>
      </c>
      <c r="H46" s="5">
        <v>50.5</v>
      </c>
      <c r="I46" s="6">
        <v>180</v>
      </c>
      <c r="J46" s="7">
        <f>ROUND(I46*[1]Parametros!$B$10,-3)</f>
        <v>642000</v>
      </c>
      <c r="K46" s="8">
        <v>1</v>
      </c>
      <c r="L46" s="9" t="str">
        <f>IF(MIN(N(INDEX([1]Parametros!B$16:B$20,MATCH($C46,[1]Parametros!$A$16:$A$20,0)))*$K46,N('[1]ATS USA'!K46))&lt;=0,"",MIN(N(INDEX([1]Parametros!B$16:B$20,MATCH($C46,[1]Parametros!$A$16:$A$20,0)))*$K46,N('[1]ATS USA'!K46)))</f>
        <v/>
      </c>
      <c r="M46" s="9" t="str">
        <f>IF(MIN(N(INDEX([1]Parametros!C$16:C$20,MATCH($C46,[1]Parametros!$A$16:$A$20,0)))*$K46,N('[1]ATS USA'!L46))&lt;=0,"",MIN(N(INDEX([1]Parametros!C$16:C$20,MATCH($C46,[1]Parametros!$A$16:$A$20,0)))*$K46,N('[1]ATS USA'!L46)))</f>
        <v/>
      </c>
      <c r="N46" s="9" t="str">
        <f>IF(MIN(N(INDEX([1]Parametros!D$16:D$20,MATCH($C46,[1]Parametros!$A$16:$A$20,0)))*$K46,N('[1]ATS USA'!M46))&lt;=0,"",MIN(N(INDEX([1]Parametros!D$16:D$20,MATCH($C46,[1]Parametros!$A$16:$A$20,0)))*$K46,N('[1]ATS USA'!M46)))</f>
        <v/>
      </c>
      <c r="O46" s="9" t="str">
        <f>IF(MIN(N(INDEX([1]Parametros!E$16:E$20,MATCH($C46,[1]Parametros!$A$16:$A$20,0)))*$K46,N('[1]ATS USA'!N46))&lt;=0,"",MIN(N(INDEX([1]Parametros!E$16:E$20,MATCH($C46,[1]Parametros!$A$16:$A$20,0)))*$K46,N('[1]ATS USA'!N46)))</f>
        <v/>
      </c>
      <c r="P46" s="9" t="str">
        <f>IF(MIN(N(INDEX([1]Parametros!F$16:F$20,MATCH($C46,[1]Parametros!$A$16:$A$20,0)))*$K46,N('[1]ATS USA'!O46))&lt;=0,"",MIN(N(INDEX([1]Parametros!F$16:F$20,MATCH($C46,[1]Parametros!$A$16:$A$20,0)))*$K46,N('[1]ATS USA'!O46)))</f>
        <v/>
      </c>
      <c r="Q46" s="9" t="str">
        <f>IF(MIN(N(INDEX([1]Parametros!G$16:G$20,MATCH($C46,[1]Parametros!$A$16:$A$20,0)))*$K46,N('[1]ATS USA'!P46))&lt;=0,"",MIN(N(INDEX([1]Parametros!G$16:G$20,MATCH($C46,[1]Parametros!$A$16:$A$20,0)))*$K46,N('[1]ATS USA'!P46)))</f>
        <v/>
      </c>
      <c r="R46" s="10">
        <f>IF(MIN(N(INDEX([1]Parametros!H$16:H$20,MATCH($C46,[1]Parametros!$A$16:$A$20,0)))*$K46,N('[1]ATS USA'!Q46))&lt;=0,"",MIN(N(INDEX([1]Parametros!H$16:H$20,MATCH($C46,[1]Parametros!$A$16:$A$20,0)))*$K46,N('[1]ATS USA'!Q46)))</f>
        <v>1</v>
      </c>
      <c r="S46" s="10">
        <f>IF(MIN(N(INDEX([1]Parametros!I$16:I$20,MATCH($C46,[1]Parametros!$A$16:$A$20,0)))*$K46,N('[1]ATS USA'!R46))&lt;=0,"",MIN(N(INDEX([1]Parametros!I$16:I$20,MATCH($C46,[1]Parametros!$A$16:$A$20,0)))*$K46,N('[1]ATS USA'!R46)))</f>
        <v>2</v>
      </c>
      <c r="T46" s="10">
        <f>IF(MIN(N(INDEX([1]Parametros!J$16:J$20,MATCH($C46,[1]Parametros!$A$16:$A$20,0)))*$K46,N('[1]ATS USA'!S46))&lt;=0,"",MIN(N(INDEX([1]Parametros!J$16:J$20,MATCH($C46,[1]Parametros!$A$16:$A$20,0)))*$K46,N('[1]ATS USA'!S46)))</f>
        <v>3</v>
      </c>
      <c r="U46" s="10">
        <f>IF(MIN(N(INDEX([1]Parametros!K$16:K$20,MATCH($C46,[1]Parametros!$A$16:$A$20,0)))*$K46,N('[1]ATS USA'!T46))&lt;=0,"",MIN(N(INDEX([1]Parametros!K$16:K$20,MATCH($C46,[1]Parametros!$A$16:$A$20,0)))*$K46,N('[1]ATS USA'!T46)))</f>
        <v>2</v>
      </c>
      <c r="V46" s="10">
        <f>IF(MIN(N(INDEX([1]Parametros!L$16:L$20,MATCH($C46,[1]Parametros!$A$16:$A$20,0)))*$K46,N('[1]ATS USA'!U46))&lt;=0,"",MIN(N(INDEX([1]Parametros!L$16:L$20,MATCH($C46,[1]Parametros!$A$16:$A$20,0)))*$K46,N('[1]ATS USA'!U46)))</f>
        <v>1</v>
      </c>
      <c r="W46" s="9">
        <f>IF(MIN(N(INDEX([1]Parametros!M$16:M$20,MATCH($C46,[1]Parametros!$A$16:$A$20,0)))*$K46,N('[1]ATS USA'!V46))&lt;=0,"",MIN(N(INDEX([1]Parametros!M$16:M$20,MATCH($C46,[1]Parametros!$A$16:$A$20,0)))*$K46,N('[1]ATS USA'!V46)))</f>
        <v>1</v>
      </c>
      <c r="X46" s="10" t="str">
        <f>IF(MIN(N(INDEX([1]Parametros!N$16:N$20,MATCH($C46,[1]Parametros!$A$16:$A$20,0)))*$K46,N('[1]ATS USA'!W46))&lt;=0,"",MIN(N(INDEX([1]Parametros!N$16:N$20,MATCH($C46,[1]Parametros!$A$16:$A$20,0)))*$K46,N('[1]ATS USA'!W46)))</f>
        <v/>
      </c>
      <c r="Y46" s="9" t="str">
        <f>IF(MIN(N(INDEX([1]Parametros!O$16:O$20,MATCH($C46,[1]Parametros!$A$16:$A$20,0)))*$K46,N('[1]ATS USA'!X46))&lt;=0,"",MIN(N(INDEX([1]Parametros!O$16:O$20,MATCH($C46,[1]Parametros!$A$16:$A$20,0)))*$K46,N('[1]ATS USA'!X46)))</f>
        <v/>
      </c>
      <c r="Z46" s="9" t="str">
        <f>IF(MIN(N(INDEX([1]Parametros!P$16:P$20,MATCH($C46,[1]Parametros!$A$16:$A$20,0)))*$K46,N('[1]ATS USA'!Y46))&lt;=0,"",MIN(N(INDEX([1]Parametros!P$16:P$20,MATCH($C46,[1]Parametros!$A$16:$A$20,0)))*$K46,N('[1]ATS USA'!Y46)))</f>
        <v/>
      </c>
      <c r="AA46" s="9" t="str">
        <f>IF(MIN(N(INDEX([1]Parametros!Q$16:Q$20,MATCH($C46,[1]Parametros!$A$16:$A$20,0)))*$K46,N('[1]ATS USA'!Z46))&lt;=0,"",MIN(N(INDEX([1]Parametros!Q$16:Q$20,MATCH($C46,[1]Parametros!$A$16:$A$20,0)))*$K46,N('[1]ATS USA'!Z46)))</f>
        <v/>
      </c>
      <c r="AB46" s="9" t="str">
        <f>IF(MIN(N(INDEX([1]Parametros!R$16:R$20,MATCH($C46,[1]Parametros!$A$16:$A$20,0)))*$K46,N('[1]ATS USA'!AA46))&lt;=0,"",MIN(N(INDEX([1]Parametros!R$16:R$20,MATCH($C46,[1]Parametros!$A$16:$A$20,0)))*$K46,N('[1]ATS USA'!AA46)))</f>
        <v/>
      </c>
      <c r="AC46" s="9" t="str">
        <f>IF(MIN(N(INDEX([1]Parametros!S$16:S$20,MATCH($C46,[1]Parametros!$A$16:$A$20,0)))*$K46,N('[1]ATS USA'!AB46))&lt;=0,"",MIN(N(INDEX([1]Parametros!S$16:S$20,MATCH($C46,[1]Parametros!$A$16:$A$20,0)))*$K46,N('[1]ATS USA'!AB46)))</f>
        <v/>
      </c>
      <c r="AD46" s="9" t="str">
        <f>IF(MIN(N(INDEX([1]Parametros!T$16:T$20,MATCH($C46,[1]Parametros!$A$16:$A$20,0)))*$K46,N('[1]ATS USA'!AC46))&lt;=0,"",MIN(N(INDEX([1]Parametros!T$16:T$20,MATCH($C46,[1]Parametros!$A$16:$A$20,0)))*$K46,N('[1]ATS USA'!AC46)))</f>
        <v/>
      </c>
      <c r="AE46" s="9" t="str">
        <f>IF(MIN(N(INDEX([1]Parametros!U$16:U$20,MATCH($C46,[1]Parametros!$A$16:$A$20,0)))*$K46,N('[1]ATS USA'!AD46))&lt;=0,"",MIN(N(INDEX([1]Parametros!U$16:U$20,MATCH($C46,[1]Parametros!$A$16:$A$20,0)))*$K46,N('[1]ATS USA'!AD46)))</f>
        <v/>
      </c>
      <c r="AF46" s="11">
        <f t="shared" si="5"/>
        <v>10</v>
      </c>
      <c r="AG46" s="12" t="str">
        <f t="shared" si="1"/>
        <v>AJUSTAR</v>
      </c>
      <c r="AH46" s="6">
        <f t="shared" si="2"/>
        <v>505</v>
      </c>
      <c r="AI46" s="9">
        <f t="shared" si="3"/>
        <v>2</v>
      </c>
      <c r="AJ46" s="13">
        <f>IF(LEFT($A46,8)="Tránsito",IFERROR(_xlfn.XLOOKUP(--$E46,'[1]Reserva Territorios'!$C:$C,'[1]Reserva Territorios'!$J:$J),0),0)</f>
        <v>0</v>
      </c>
      <c r="AK46" s="13">
        <f t="shared" si="4"/>
        <v>10</v>
      </c>
    </row>
    <row r="47" spans="1:37" ht="48.95" customHeight="1" x14ac:dyDescent="0.25">
      <c r="A47" s="3" t="s">
        <v>37</v>
      </c>
      <c r="B47" s="4" t="s">
        <v>76</v>
      </c>
      <c r="C47" s="4" t="s">
        <v>135</v>
      </c>
      <c r="D47" s="4" t="s">
        <v>106</v>
      </c>
      <c r="E47" s="4" t="s">
        <v>192</v>
      </c>
      <c r="F47" s="4" t="s">
        <v>193</v>
      </c>
      <c r="G47" s="4" t="s">
        <v>194</v>
      </c>
      <c r="H47" s="5">
        <v>50.5</v>
      </c>
      <c r="I47" s="6">
        <v>180</v>
      </c>
      <c r="J47" s="7">
        <f>ROUND(I47*[1]Parametros!$B$10,-3)</f>
        <v>642000</v>
      </c>
      <c r="K47" s="8">
        <v>2</v>
      </c>
      <c r="L47" s="9" t="str">
        <f>IF(MIN(N(INDEX([1]Parametros!B$16:B$20,MATCH($C47,[1]Parametros!$A$16:$A$20,0)))*$K47,N('[1]ATS USA'!K47))&lt;=0,"",MIN(N(INDEX([1]Parametros!B$16:B$20,MATCH($C47,[1]Parametros!$A$16:$A$20,0)))*$K47,N('[1]ATS USA'!K47)))</f>
        <v/>
      </c>
      <c r="M47" s="9" t="str">
        <f>IF(MIN(N(INDEX([1]Parametros!C$16:C$20,MATCH($C47,[1]Parametros!$A$16:$A$20,0)))*$K47,N('[1]ATS USA'!L47))&lt;=0,"",MIN(N(INDEX([1]Parametros!C$16:C$20,MATCH($C47,[1]Parametros!$A$16:$A$20,0)))*$K47,N('[1]ATS USA'!L47)))</f>
        <v/>
      </c>
      <c r="N47" s="9" t="str">
        <f>IF(MIN(N(INDEX([1]Parametros!D$16:D$20,MATCH($C47,[1]Parametros!$A$16:$A$20,0)))*$K47,N('[1]ATS USA'!M47))&lt;=0,"",MIN(N(INDEX([1]Parametros!D$16:D$20,MATCH($C47,[1]Parametros!$A$16:$A$20,0)))*$K47,N('[1]ATS USA'!M47)))</f>
        <v/>
      </c>
      <c r="O47" s="9" t="str">
        <f>IF(MIN(N(INDEX([1]Parametros!E$16:E$20,MATCH($C47,[1]Parametros!$A$16:$A$20,0)))*$K47,N('[1]ATS USA'!N47))&lt;=0,"",MIN(N(INDEX([1]Parametros!E$16:E$20,MATCH($C47,[1]Parametros!$A$16:$A$20,0)))*$K47,N('[1]ATS USA'!N47)))</f>
        <v/>
      </c>
      <c r="P47" s="9" t="str">
        <f>IF(MIN(N(INDEX([1]Parametros!F$16:F$20,MATCH($C47,[1]Parametros!$A$16:$A$20,0)))*$K47,N('[1]ATS USA'!O47))&lt;=0,"",MIN(N(INDEX([1]Parametros!F$16:F$20,MATCH($C47,[1]Parametros!$A$16:$A$20,0)))*$K47,N('[1]ATS USA'!O47)))</f>
        <v/>
      </c>
      <c r="Q47" s="9" t="str">
        <f>IF(MIN(N(INDEX([1]Parametros!G$16:G$20,MATCH($C47,[1]Parametros!$A$16:$A$20,0)))*$K47,N('[1]ATS USA'!P47))&lt;=0,"",MIN(N(INDEX([1]Parametros!G$16:G$20,MATCH($C47,[1]Parametros!$A$16:$A$20,0)))*$K47,N('[1]ATS USA'!P47)))</f>
        <v/>
      </c>
      <c r="R47" s="10">
        <f>IF(MIN(N(INDEX([1]Parametros!H$16:H$20,MATCH($C47,[1]Parametros!$A$16:$A$20,0)))*$K47,N('[1]ATS USA'!Q47))&lt;=0,"",MIN(N(INDEX([1]Parametros!H$16:H$20,MATCH($C47,[1]Parametros!$A$16:$A$20,0)))*$K47,N('[1]ATS USA'!Q47)))</f>
        <v>2</v>
      </c>
      <c r="S47" s="10">
        <f>IF(MIN(N(INDEX([1]Parametros!I$16:I$20,MATCH($C47,[1]Parametros!$A$16:$A$20,0)))*$K47,N('[1]ATS USA'!R47))&lt;=0,"",MIN(N(INDEX([1]Parametros!I$16:I$20,MATCH($C47,[1]Parametros!$A$16:$A$20,0)))*$K47,N('[1]ATS USA'!R47)))</f>
        <v>4</v>
      </c>
      <c r="T47" s="10">
        <f>IF(MIN(N(INDEX([1]Parametros!J$16:J$20,MATCH($C47,[1]Parametros!$A$16:$A$20,0)))*$K47,N('[1]ATS USA'!S47))&lt;=0,"",MIN(N(INDEX([1]Parametros!J$16:J$20,MATCH($C47,[1]Parametros!$A$16:$A$20,0)))*$K47,N('[1]ATS USA'!S47)))</f>
        <v>6</v>
      </c>
      <c r="U47" s="10">
        <f>IF(MIN(N(INDEX([1]Parametros!K$16:K$20,MATCH($C47,[1]Parametros!$A$16:$A$20,0)))*$K47,N('[1]ATS USA'!T47))&lt;=0,"",MIN(N(INDEX([1]Parametros!K$16:K$20,MATCH($C47,[1]Parametros!$A$16:$A$20,0)))*$K47,N('[1]ATS USA'!T47)))</f>
        <v>4</v>
      </c>
      <c r="V47" s="10">
        <f>IF(MIN(N(INDEX([1]Parametros!L$16:L$20,MATCH($C47,[1]Parametros!$A$16:$A$20,0)))*$K47,N('[1]ATS USA'!U47))&lt;=0,"",MIN(N(INDEX([1]Parametros!L$16:L$20,MATCH($C47,[1]Parametros!$A$16:$A$20,0)))*$K47,N('[1]ATS USA'!U47)))</f>
        <v>2</v>
      </c>
      <c r="W47" s="9">
        <f>IF(MIN(N(INDEX([1]Parametros!M$16:M$20,MATCH($C47,[1]Parametros!$A$16:$A$20,0)))*$K47,N('[1]ATS USA'!V47))&lt;=0,"",MIN(N(INDEX([1]Parametros!M$16:M$20,MATCH($C47,[1]Parametros!$A$16:$A$20,0)))*$K47,N('[1]ATS USA'!V47)))</f>
        <v>2</v>
      </c>
      <c r="X47" s="10" t="str">
        <f>IF(MIN(N(INDEX([1]Parametros!N$16:N$20,MATCH($C47,[1]Parametros!$A$16:$A$20,0)))*$K47,N('[1]ATS USA'!W47))&lt;=0,"",MIN(N(INDEX([1]Parametros!N$16:N$20,MATCH($C47,[1]Parametros!$A$16:$A$20,0)))*$K47,N('[1]ATS USA'!W47)))</f>
        <v/>
      </c>
      <c r="Y47" s="9" t="str">
        <f>IF(MIN(N(INDEX([1]Parametros!O$16:O$20,MATCH($C47,[1]Parametros!$A$16:$A$20,0)))*$K47,N('[1]ATS USA'!X47))&lt;=0,"",MIN(N(INDEX([1]Parametros!O$16:O$20,MATCH($C47,[1]Parametros!$A$16:$A$20,0)))*$K47,N('[1]ATS USA'!X47)))</f>
        <v/>
      </c>
      <c r="Z47" s="9" t="str">
        <f>IF(MIN(N(INDEX([1]Parametros!P$16:P$20,MATCH($C47,[1]Parametros!$A$16:$A$20,0)))*$K47,N('[1]ATS USA'!Y47))&lt;=0,"",MIN(N(INDEX([1]Parametros!P$16:P$20,MATCH($C47,[1]Parametros!$A$16:$A$20,0)))*$K47,N('[1]ATS USA'!Y47)))</f>
        <v/>
      </c>
      <c r="AA47" s="9" t="str">
        <f>IF(MIN(N(INDEX([1]Parametros!Q$16:Q$20,MATCH($C47,[1]Parametros!$A$16:$A$20,0)))*$K47,N('[1]ATS USA'!Z47))&lt;=0,"",MIN(N(INDEX([1]Parametros!Q$16:Q$20,MATCH($C47,[1]Parametros!$A$16:$A$20,0)))*$K47,N('[1]ATS USA'!Z47)))</f>
        <v/>
      </c>
      <c r="AB47" s="9" t="str">
        <f>IF(MIN(N(INDEX([1]Parametros!R$16:R$20,MATCH($C47,[1]Parametros!$A$16:$A$20,0)))*$K47,N('[1]ATS USA'!AA47))&lt;=0,"",MIN(N(INDEX([1]Parametros!R$16:R$20,MATCH($C47,[1]Parametros!$A$16:$A$20,0)))*$K47,N('[1]ATS USA'!AA47)))</f>
        <v/>
      </c>
      <c r="AC47" s="9" t="str">
        <f>IF(MIN(N(INDEX([1]Parametros!S$16:S$20,MATCH($C47,[1]Parametros!$A$16:$A$20,0)))*$K47,N('[1]ATS USA'!AB47))&lt;=0,"",MIN(N(INDEX([1]Parametros!S$16:S$20,MATCH($C47,[1]Parametros!$A$16:$A$20,0)))*$K47,N('[1]ATS USA'!AB47)))</f>
        <v/>
      </c>
      <c r="AD47" s="9" t="str">
        <f>IF(MIN(N(INDEX([1]Parametros!T$16:T$20,MATCH($C47,[1]Parametros!$A$16:$A$20,0)))*$K47,N('[1]ATS USA'!AC47))&lt;=0,"",MIN(N(INDEX([1]Parametros!T$16:T$20,MATCH($C47,[1]Parametros!$A$16:$A$20,0)))*$K47,N('[1]ATS USA'!AC47)))</f>
        <v/>
      </c>
      <c r="AE47" s="9" t="str">
        <f>IF(MIN(N(INDEX([1]Parametros!U$16:U$20,MATCH($C47,[1]Parametros!$A$16:$A$20,0)))*$K47,N('[1]ATS USA'!AD47))&lt;=0,"",MIN(N(INDEX([1]Parametros!U$16:U$20,MATCH($C47,[1]Parametros!$A$16:$A$20,0)))*$K47,N('[1]ATS USA'!AD47)))</f>
        <v/>
      </c>
      <c r="AF47" s="11">
        <f t="shared" si="5"/>
        <v>20</v>
      </c>
      <c r="AG47" s="12" t="str">
        <f t="shared" si="1"/>
        <v>AJUSTAR</v>
      </c>
      <c r="AH47" s="6">
        <f t="shared" si="2"/>
        <v>1010</v>
      </c>
      <c r="AI47" s="9">
        <f t="shared" si="3"/>
        <v>4</v>
      </c>
      <c r="AJ47" s="13">
        <f>IF(LEFT($A47,8)="Tránsito",IFERROR(_xlfn.XLOOKUP(--$E47,'[1]Reserva Territorios'!$C:$C,'[1]Reserva Territorios'!$J:$J),0),0)</f>
        <v>0</v>
      </c>
      <c r="AK47" s="13">
        <f t="shared" si="4"/>
        <v>20</v>
      </c>
    </row>
    <row r="48" spans="1:37" ht="48.95" customHeight="1" x14ac:dyDescent="0.25">
      <c r="A48" s="3" t="s">
        <v>37</v>
      </c>
      <c r="B48" s="4" t="s">
        <v>112</v>
      </c>
      <c r="C48" s="4" t="s">
        <v>135</v>
      </c>
      <c r="D48" s="4" t="s">
        <v>112</v>
      </c>
      <c r="E48" s="4" t="s">
        <v>195</v>
      </c>
      <c r="F48" s="4" t="s">
        <v>196</v>
      </c>
      <c r="G48" s="4" t="s">
        <v>197</v>
      </c>
      <c r="H48" s="5">
        <v>35</v>
      </c>
      <c r="I48" s="6">
        <v>150</v>
      </c>
      <c r="J48" s="7">
        <f>ROUND(I48*[1]Parametros!$B$10,-3)</f>
        <v>535000</v>
      </c>
      <c r="K48" s="8">
        <v>4</v>
      </c>
      <c r="L48" s="9" t="str">
        <f>IF(MIN(N(INDEX([1]Parametros!B$16:B$20,MATCH($C48,[1]Parametros!$A$16:$A$20,0)))*$K48,N('[1]ATS USA'!K48))&lt;=0,"",MIN(N(INDEX([1]Parametros!B$16:B$20,MATCH($C48,[1]Parametros!$A$16:$A$20,0)))*$K48,N('[1]ATS USA'!K48)))</f>
        <v/>
      </c>
      <c r="M48" s="9" t="str">
        <f>IF(MIN(N(INDEX([1]Parametros!C$16:C$20,MATCH($C48,[1]Parametros!$A$16:$A$20,0)))*$K48,N('[1]ATS USA'!L48))&lt;=0,"",MIN(N(INDEX([1]Parametros!C$16:C$20,MATCH($C48,[1]Parametros!$A$16:$A$20,0)))*$K48,N('[1]ATS USA'!L48)))</f>
        <v/>
      </c>
      <c r="N48" s="9" t="str">
        <f>IF(MIN(N(INDEX([1]Parametros!D$16:D$20,MATCH($C48,[1]Parametros!$A$16:$A$20,0)))*$K48,N('[1]ATS USA'!M48))&lt;=0,"",MIN(N(INDEX([1]Parametros!D$16:D$20,MATCH($C48,[1]Parametros!$A$16:$A$20,0)))*$K48,N('[1]ATS USA'!M48)))</f>
        <v/>
      </c>
      <c r="O48" s="9" t="str">
        <f>IF(MIN(N(INDEX([1]Parametros!E$16:E$20,MATCH($C48,[1]Parametros!$A$16:$A$20,0)))*$K48,N('[1]ATS USA'!N48))&lt;=0,"",MIN(N(INDEX([1]Parametros!E$16:E$20,MATCH($C48,[1]Parametros!$A$16:$A$20,0)))*$K48,N('[1]ATS USA'!N48)))</f>
        <v/>
      </c>
      <c r="P48" s="10">
        <f>IF(MIN(N(INDEX([1]Parametros!F$16:F$20,MATCH($C48,[1]Parametros!$A$16:$A$20,0)))*$K48,N('[1]ATS USA'!O48))&lt;=0,"",MIN(N(INDEX([1]Parametros!F$16:F$20,MATCH($C48,[1]Parametros!$A$16:$A$20,0)))*$K48,N('[1]ATS USA'!O48)))</f>
        <v>4</v>
      </c>
      <c r="Q48" s="9" t="str">
        <f>IF(MIN(N(INDEX([1]Parametros!G$16:G$20,MATCH($C48,[1]Parametros!$A$16:$A$20,0)))*$K48,N('[1]ATS USA'!P48))&lt;=0,"",MIN(N(INDEX([1]Parametros!G$16:G$20,MATCH($C48,[1]Parametros!$A$16:$A$20,0)))*$K48,N('[1]ATS USA'!P48)))</f>
        <v/>
      </c>
      <c r="R48" s="10">
        <f>IF(MIN(N(INDEX([1]Parametros!H$16:H$20,MATCH($C48,[1]Parametros!$A$16:$A$20,0)))*$K48,N('[1]ATS USA'!Q48))&lt;=0,"",MIN(N(INDEX([1]Parametros!H$16:H$20,MATCH($C48,[1]Parametros!$A$16:$A$20,0)))*$K48,N('[1]ATS USA'!Q48)))</f>
        <v>4</v>
      </c>
      <c r="S48" s="10">
        <f>IF(MIN(N(INDEX([1]Parametros!I$16:I$20,MATCH($C48,[1]Parametros!$A$16:$A$20,0)))*$K48,N('[1]ATS USA'!R48))&lt;=0,"",MIN(N(INDEX([1]Parametros!I$16:I$20,MATCH($C48,[1]Parametros!$A$16:$A$20,0)))*$K48,N('[1]ATS USA'!R48)))</f>
        <v>8</v>
      </c>
      <c r="T48" s="10">
        <f>IF(MIN(N(INDEX([1]Parametros!J$16:J$20,MATCH($C48,[1]Parametros!$A$16:$A$20,0)))*$K48,N('[1]ATS USA'!S48))&lt;=0,"",MIN(N(INDEX([1]Parametros!J$16:J$20,MATCH($C48,[1]Parametros!$A$16:$A$20,0)))*$K48,N('[1]ATS USA'!S48)))</f>
        <v>12</v>
      </c>
      <c r="U48" s="10">
        <f>IF(MIN(N(INDEX([1]Parametros!K$16:K$20,MATCH($C48,[1]Parametros!$A$16:$A$20,0)))*$K48,N('[1]ATS USA'!T48))&lt;=0,"",MIN(N(INDEX([1]Parametros!K$16:K$20,MATCH($C48,[1]Parametros!$A$16:$A$20,0)))*$K48,N('[1]ATS USA'!T48)))</f>
        <v>8</v>
      </c>
      <c r="V48" s="10">
        <f>IF(MIN(N(INDEX([1]Parametros!L$16:L$20,MATCH($C48,[1]Parametros!$A$16:$A$20,0)))*$K48,N('[1]ATS USA'!U48))&lt;=0,"",MIN(N(INDEX([1]Parametros!L$16:L$20,MATCH($C48,[1]Parametros!$A$16:$A$20,0)))*$K48,N('[1]ATS USA'!U48)))</f>
        <v>4</v>
      </c>
      <c r="W48" s="9">
        <f>IF(MIN(N(INDEX([1]Parametros!M$16:M$20,MATCH($C48,[1]Parametros!$A$16:$A$20,0)))*$K48,N('[1]ATS USA'!V48))&lt;=0,"",MIN(N(INDEX([1]Parametros!M$16:M$20,MATCH($C48,[1]Parametros!$A$16:$A$20,0)))*$K48,N('[1]ATS USA'!V48)))</f>
        <v>4</v>
      </c>
      <c r="X48" s="10" t="str">
        <f>IF(MIN(N(INDEX([1]Parametros!N$16:N$20,MATCH($C48,[1]Parametros!$A$16:$A$20,0)))*$K48,N('[1]ATS USA'!W48))&lt;=0,"",MIN(N(INDEX([1]Parametros!N$16:N$20,MATCH($C48,[1]Parametros!$A$16:$A$20,0)))*$K48,N('[1]ATS USA'!W48)))</f>
        <v/>
      </c>
      <c r="Y48" s="9" t="str">
        <f>IF(MIN(N(INDEX([1]Parametros!O$16:O$20,MATCH($C48,[1]Parametros!$A$16:$A$20,0)))*$K48,N('[1]ATS USA'!X48))&lt;=0,"",MIN(N(INDEX([1]Parametros!O$16:O$20,MATCH($C48,[1]Parametros!$A$16:$A$20,0)))*$K48,N('[1]ATS USA'!X48)))</f>
        <v/>
      </c>
      <c r="Z48" s="9" t="str">
        <f>IF(MIN(N(INDEX([1]Parametros!P$16:P$20,MATCH($C48,[1]Parametros!$A$16:$A$20,0)))*$K48,N('[1]ATS USA'!Y48))&lt;=0,"",MIN(N(INDEX([1]Parametros!P$16:P$20,MATCH($C48,[1]Parametros!$A$16:$A$20,0)))*$K48,N('[1]ATS USA'!Y48)))</f>
        <v/>
      </c>
      <c r="AA48" s="9" t="str">
        <f>IF(MIN(N(INDEX([1]Parametros!Q$16:Q$20,MATCH($C48,[1]Parametros!$A$16:$A$20,0)))*$K48,N('[1]ATS USA'!Z48))&lt;=0,"",MIN(N(INDEX([1]Parametros!Q$16:Q$20,MATCH($C48,[1]Parametros!$A$16:$A$20,0)))*$K48,N('[1]ATS USA'!Z48)))</f>
        <v/>
      </c>
      <c r="AB48" s="9" t="str">
        <f>IF(MIN(N(INDEX([1]Parametros!R$16:R$20,MATCH($C48,[1]Parametros!$A$16:$A$20,0)))*$K48,N('[1]ATS USA'!AA48))&lt;=0,"",MIN(N(INDEX([1]Parametros!R$16:R$20,MATCH($C48,[1]Parametros!$A$16:$A$20,0)))*$K48,N('[1]ATS USA'!AA48)))</f>
        <v/>
      </c>
      <c r="AC48" s="9" t="str">
        <f>IF(MIN(N(INDEX([1]Parametros!S$16:S$20,MATCH($C48,[1]Parametros!$A$16:$A$20,0)))*$K48,N('[1]ATS USA'!AB48))&lt;=0,"",MIN(N(INDEX([1]Parametros!S$16:S$20,MATCH($C48,[1]Parametros!$A$16:$A$20,0)))*$K48,N('[1]ATS USA'!AB48)))</f>
        <v/>
      </c>
      <c r="AD48" s="9" t="str">
        <f>IF(MIN(N(INDEX([1]Parametros!T$16:T$20,MATCH($C48,[1]Parametros!$A$16:$A$20,0)))*$K48,N('[1]ATS USA'!AC48))&lt;=0,"",MIN(N(INDEX([1]Parametros!T$16:T$20,MATCH($C48,[1]Parametros!$A$16:$A$20,0)))*$K48,N('[1]ATS USA'!AC48)))</f>
        <v/>
      </c>
      <c r="AE48" s="9" t="str">
        <f>IF(MIN(N(INDEX([1]Parametros!U$16:U$20,MATCH($C48,[1]Parametros!$A$16:$A$20,0)))*$K48,N('[1]ATS USA'!AD48))&lt;=0,"",MIN(N(INDEX([1]Parametros!U$16:U$20,MATCH($C48,[1]Parametros!$A$16:$A$20,0)))*$K48,N('[1]ATS USA'!AD48)))</f>
        <v/>
      </c>
      <c r="AF48" s="11">
        <f t="shared" si="5"/>
        <v>44</v>
      </c>
      <c r="AG48" s="12" t="str">
        <f t="shared" si="1"/>
        <v>AJUSTAR</v>
      </c>
      <c r="AH48" s="6">
        <f t="shared" si="2"/>
        <v>1540</v>
      </c>
      <c r="AI48" s="9">
        <f t="shared" si="3"/>
        <v>4</v>
      </c>
      <c r="AJ48" s="13">
        <f>IF(LEFT($A48,8)="Tránsito",IFERROR(_xlfn.XLOOKUP(--$E48,'[1]Reserva Territorios'!$C:$C,'[1]Reserva Territorios'!$J:$J),0),0)</f>
        <v>0</v>
      </c>
      <c r="AK48" s="13">
        <f t="shared" si="4"/>
        <v>44</v>
      </c>
    </row>
    <row r="49" spans="1:37" ht="48.95" customHeight="1" x14ac:dyDescent="0.25">
      <c r="A49" s="3" t="s">
        <v>37</v>
      </c>
      <c r="B49" s="4" t="s">
        <v>112</v>
      </c>
      <c r="C49" s="4" t="s">
        <v>135</v>
      </c>
      <c r="D49" s="4" t="s">
        <v>198</v>
      </c>
      <c r="E49" s="4" t="s">
        <v>199</v>
      </c>
      <c r="F49" s="4" t="s">
        <v>200</v>
      </c>
      <c r="G49" s="4" t="s">
        <v>201</v>
      </c>
      <c r="H49" s="5">
        <v>36</v>
      </c>
      <c r="I49" s="6">
        <v>140</v>
      </c>
      <c r="J49" s="7">
        <f>ROUND(I49*[1]Parametros!$B$10,-3)</f>
        <v>500000</v>
      </c>
      <c r="K49" s="8">
        <v>4</v>
      </c>
      <c r="L49" s="9" t="str">
        <f>IF(MIN(N(INDEX([1]Parametros!B$16:B$20,MATCH($C49,[1]Parametros!$A$16:$A$20,0)))*$K49,N('[1]ATS USA'!K49))&lt;=0,"",MIN(N(INDEX([1]Parametros!B$16:B$20,MATCH($C49,[1]Parametros!$A$16:$A$20,0)))*$K49,N('[1]ATS USA'!K49)))</f>
        <v/>
      </c>
      <c r="M49" s="9" t="str">
        <f>IF(MIN(N(INDEX([1]Parametros!C$16:C$20,MATCH($C49,[1]Parametros!$A$16:$A$20,0)))*$K49,N('[1]ATS USA'!L49))&lt;=0,"",MIN(N(INDEX([1]Parametros!C$16:C$20,MATCH($C49,[1]Parametros!$A$16:$A$20,0)))*$K49,N('[1]ATS USA'!L49)))</f>
        <v/>
      </c>
      <c r="N49" s="9" t="str">
        <f>IF(MIN(N(INDEX([1]Parametros!D$16:D$20,MATCH($C49,[1]Parametros!$A$16:$A$20,0)))*$K49,N('[1]ATS USA'!M49))&lt;=0,"",MIN(N(INDEX([1]Parametros!D$16:D$20,MATCH($C49,[1]Parametros!$A$16:$A$20,0)))*$K49,N('[1]ATS USA'!M49)))</f>
        <v/>
      </c>
      <c r="O49" s="9" t="str">
        <f>IF(MIN(N(INDEX([1]Parametros!E$16:E$20,MATCH($C49,[1]Parametros!$A$16:$A$20,0)))*$K49,N('[1]ATS USA'!N49))&lt;=0,"",MIN(N(INDEX([1]Parametros!E$16:E$20,MATCH($C49,[1]Parametros!$A$16:$A$20,0)))*$K49,N('[1]ATS USA'!N49)))</f>
        <v/>
      </c>
      <c r="P49" s="9" t="str">
        <f>IF(MIN(N(INDEX([1]Parametros!F$16:F$20,MATCH($C49,[1]Parametros!$A$16:$A$20,0)))*$K49,N('[1]ATS USA'!O49))&lt;=0,"",MIN(N(INDEX([1]Parametros!F$16:F$20,MATCH($C49,[1]Parametros!$A$16:$A$20,0)))*$K49,N('[1]ATS USA'!O49)))</f>
        <v/>
      </c>
      <c r="Q49" s="9" t="str">
        <f>IF(MIN(N(INDEX([1]Parametros!G$16:G$20,MATCH($C49,[1]Parametros!$A$16:$A$20,0)))*$K49,N('[1]ATS USA'!P49))&lt;=0,"",MIN(N(INDEX([1]Parametros!G$16:G$20,MATCH($C49,[1]Parametros!$A$16:$A$20,0)))*$K49,N('[1]ATS USA'!P49)))</f>
        <v/>
      </c>
      <c r="R49" s="10">
        <f>IF(MIN(N(INDEX([1]Parametros!H$16:H$20,MATCH($C49,[1]Parametros!$A$16:$A$20,0)))*$K49,N('[1]ATS USA'!Q49))&lt;=0,"",MIN(N(INDEX([1]Parametros!H$16:H$20,MATCH($C49,[1]Parametros!$A$16:$A$20,0)))*$K49,N('[1]ATS USA'!Q49)))</f>
        <v>4</v>
      </c>
      <c r="S49" s="10">
        <f>IF(MIN(N(INDEX([1]Parametros!I$16:I$20,MATCH($C49,[1]Parametros!$A$16:$A$20,0)))*$K49,N('[1]ATS USA'!R49))&lt;=0,"",MIN(N(INDEX([1]Parametros!I$16:I$20,MATCH($C49,[1]Parametros!$A$16:$A$20,0)))*$K49,N('[1]ATS USA'!R49)))</f>
        <v>8</v>
      </c>
      <c r="T49" s="10">
        <f>IF(MIN(N(INDEX([1]Parametros!J$16:J$20,MATCH($C49,[1]Parametros!$A$16:$A$20,0)))*$K49,N('[1]ATS USA'!S49))&lt;=0,"",MIN(N(INDEX([1]Parametros!J$16:J$20,MATCH($C49,[1]Parametros!$A$16:$A$20,0)))*$K49,N('[1]ATS USA'!S49)))</f>
        <v>12</v>
      </c>
      <c r="U49" s="10">
        <f>IF(MIN(N(INDEX([1]Parametros!K$16:K$20,MATCH($C49,[1]Parametros!$A$16:$A$20,0)))*$K49,N('[1]ATS USA'!T49))&lt;=0,"",MIN(N(INDEX([1]Parametros!K$16:K$20,MATCH($C49,[1]Parametros!$A$16:$A$20,0)))*$K49,N('[1]ATS USA'!T49)))</f>
        <v>8</v>
      </c>
      <c r="V49" s="10">
        <f>IF(MIN(N(INDEX([1]Parametros!L$16:L$20,MATCH($C49,[1]Parametros!$A$16:$A$20,0)))*$K49,N('[1]ATS USA'!U49))&lt;=0,"",MIN(N(INDEX([1]Parametros!L$16:L$20,MATCH($C49,[1]Parametros!$A$16:$A$20,0)))*$K49,N('[1]ATS USA'!U49)))</f>
        <v>4</v>
      </c>
      <c r="W49" s="9">
        <f>IF(MIN(N(INDEX([1]Parametros!M$16:M$20,MATCH($C49,[1]Parametros!$A$16:$A$20,0)))*$K49,N('[1]ATS USA'!V49))&lt;=0,"",MIN(N(INDEX([1]Parametros!M$16:M$20,MATCH($C49,[1]Parametros!$A$16:$A$20,0)))*$K49,N('[1]ATS USA'!V49)))</f>
        <v>4</v>
      </c>
      <c r="X49" s="10" t="str">
        <f>IF(MIN(N(INDEX([1]Parametros!N$16:N$20,MATCH($C49,[1]Parametros!$A$16:$A$20,0)))*$K49,N('[1]ATS USA'!W49))&lt;=0,"",MIN(N(INDEX([1]Parametros!N$16:N$20,MATCH($C49,[1]Parametros!$A$16:$A$20,0)))*$K49,N('[1]ATS USA'!W49)))</f>
        <v/>
      </c>
      <c r="Y49" s="9" t="str">
        <f>IF(MIN(N(INDEX([1]Parametros!O$16:O$20,MATCH($C49,[1]Parametros!$A$16:$A$20,0)))*$K49,N('[1]ATS USA'!X49))&lt;=0,"",MIN(N(INDEX([1]Parametros!O$16:O$20,MATCH($C49,[1]Parametros!$A$16:$A$20,0)))*$K49,N('[1]ATS USA'!X49)))</f>
        <v/>
      </c>
      <c r="Z49" s="9" t="str">
        <f>IF(MIN(N(INDEX([1]Parametros!P$16:P$20,MATCH($C49,[1]Parametros!$A$16:$A$20,0)))*$K49,N('[1]ATS USA'!Y49))&lt;=0,"",MIN(N(INDEX([1]Parametros!P$16:P$20,MATCH($C49,[1]Parametros!$A$16:$A$20,0)))*$K49,N('[1]ATS USA'!Y49)))</f>
        <v/>
      </c>
      <c r="AA49" s="9" t="str">
        <f>IF(MIN(N(INDEX([1]Parametros!Q$16:Q$20,MATCH($C49,[1]Parametros!$A$16:$A$20,0)))*$K49,N('[1]ATS USA'!Z49))&lt;=0,"",MIN(N(INDEX([1]Parametros!Q$16:Q$20,MATCH($C49,[1]Parametros!$A$16:$A$20,0)))*$K49,N('[1]ATS USA'!Z49)))</f>
        <v/>
      </c>
      <c r="AB49" s="9" t="str">
        <f>IF(MIN(N(INDEX([1]Parametros!R$16:R$20,MATCH($C49,[1]Parametros!$A$16:$A$20,0)))*$K49,N('[1]ATS USA'!AA49))&lt;=0,"",MIN(N(INDEX([1]Parametros!R$16:R$20,MATCH($C49,[1]Parametros!$A$16:$A$20,0)))*$K49,N('[1]ATS USA'!AA49)))</f>
        <v/>
      </c>
      <c r="AC49" s="9" t="str">
        <f>IF(MIN(N(INDEX([1]Parametros!S$16:S$20,MATCH($C49,[1]Parametros!$A$16:$A$20,0)))*$K49,N('[1]ATS USA'!AB49))&lt;=0,"",MIN(N(INDEX([1]Parametros!S$16:S$20,MATCH($C49,[1]Parametros!$A$16:$A$20,0)))*$K49,N('[1]ATS USA'!AB49)))</f>
        <v/>
      </c>
      <c r="AD49" s="9" t="str">
        <f>IF(MIN(N(INDEX([1]Parametros!T$16:T$20,MATCH($C49,[1]Parametros!$A$16:$A$20,0)))*$K49,N('[1]ATS USA'!AC49))&lt;=0,"",MIN(N(INDEX([1]Parametros!T$16:T$20,MATCH($C49,[1]Parametros!$A$16:$A$20,0)))*$K49,N('[1]ATS USA'!AC49)))</f>
        <v/>
      </c>
      <c r="AE49" s="9" t="str">
        <f>IF(MIN(N(INDEX([1]Parametros!U$16:U$20,MATCH($C49,[1]Parametros!$A$16:$A$20,0)))*$K49,N('[1]ATS USA'!AD49))&lt;=0,"",MIN(N(INDEX([1]Parametros!U$16:U$20,MATCH($C49,[1]Parametros!$A$16:$A$20,0)))*$K49,N('[1]ATS USA'!AD49)))</f>
        <v/>
      </c>
      <c r="AF49" s="11">
        <f t="shared" si="5"/>
        <v>40</v>
      </c>
      <c r="AG49" s="12" t="str">
        <f t="shared" si="1"/>
        <v>AJUSTAR</v>
      </c>
      <c r="AH49" s="6">
        <f t="shared" si="2"/>
        <v>1440</v>
      </c>
      <c r="AI49" s="9">
        <f t="shared" si="3"/>
        <v>8</v>
      </c>
      <c r="AJ49" s="13">
        <f>IF(LEFT($A49,8)="Tránsito",IFERROR(_xlfn.XLOOKUP(--$E49,'[1]Reserva Territorios'!$C:$C,'[1]Reserva Territorios'!$J:$J),0),0)</f>
        <v>0</v>
      </c>
      <c r="AK49" s="13">
        <f t="shared" si="4"/>
        <v>40</v>
      </c>
    </row>
    <row r="50" spans="1:37" ht="48.95" hidden="1" customHeight="1" x14ac:dyDescent="0.25">
      <c r="A50" s="3" t="s">
        <v>37</v>
      </c>
      <c r="B50" s="4" t="s">
        <v>122</v>
      </c>
      <c r="C50" s="4" t="s">
        <v>135</v>
      </c>
      <c r="D50" s="4" t="s">
        <v>202</v>
      </c>
      <c r="E50" s="4" t="s">
        <v>203</v>
      </c>
      <c r="F50" s="4" t="s">
        <v>204</v>
      </c>
      <c r="G50" s="4" t="s">
        <v>205</v>
      </c>
      <c r="H50" s="5">
        <v>32</v>
      </c>
      <c r="I50" s="6">
        <v>130</v>
      </c>
      <c r="J50" s="7">
        <f>ROUND(I50*[1]Parametros!$B$10,-3)</f>
        <v>464000</v>
      </c>
      <c r="K50" s="8">
        <v>0</v>
      </c>
      <c r="L50" s="9" t="str">
        <f>IF(MIN(N(INDEX([1]Parametros!B$16:B$20,MATCH($C50,[1]Parametros!$A$16:$A$20,0)))*$K50,N('[1]ATS USA'!K50))&lt;=0,"",MIN(N(INDEX([1]Parametros!B$16:B$20,MATCH($C50,[1]Parametros!$A$16:$A$20,0)))*$K50,N('[1]ATS USA'!K50)))</f>
        <v/>
      </c>
      <c r="M50" s="9" t="str">
        <f>IF(MIN(N(INDEX([1]Parametros!C$16:C$20,MATCH($C50,[1]Parametros!$A$16:$A$20,0)))*$K50,N('[1]ATS USA'!L50))&lt;=0,"",MIN(N(INDEX([1]Parametros!C$16:C$20,MATCH($C50,[1]Parametros!$A$16:$A$20,0)))*$K50,N('[1]ATS USA'!L50)))</f>
        <v/>
      </c>
      <c r="N50" s="9" t="str">
        <f>IF(MIN(N(INDEX([1]Parametros!D$16:D$20,MATCH($C50,[1]Parametros!$A$16:$A$20,0)))*$K50,N('[1]ATS USA'!M50))&lt;=0,"",MIN(N(INDEX([1]Parametros!D$16:D$20,MATCH($C50,[1]Parametros!$A$16:$A$20,0)))*$K50,N('[1]ATS USA'!M50)))</f>
        <v/>
      </c>
      <c r="O50" s="9" t="str">
        <f>IF(MIN(N(INDEX([1]Parametros!E$16:E$20,MATCH($C50,[1]Parametros!$A$16:$A$20,0)))*$K50,N('[1]ATS USA'!N50))&lt;=0,"",MIN(N(INDEX([1]Parametros!E$16:E$20,MATCH($C50,[1]Parametros!$A$16:$A$20,0)))*$K50,N('[1]ATS USA'!N50)))</f>
        <v/>
      </c>
      <c r="P50" s="10" t="str">
        <f>IF(MIN(N(INDEX([1]Parametros!F$16:F$20,MATCH($C50,[1]Parametros!$A$16:$A$20,0)))*$K50,N('[1]ATS USA'!O50))&lt;=0,"",MIN(N(INDEX([1]Parametros!F$16:F$20,MATCH($C50,[1]Parametros!$A$16:$A$20,0)))*$K50,N('[1]ATS USA'!O50)))</f>
        <v/>
      </c>
      <c r="Q50" s="10" t="str">
        <f>IF(MIN(N(INDEX([1]Parametros!G$16:G$20,MATCH($C50,[1]Parametros!$A$16:$A$20,0)))*$K50,N('[1]ATS USA'!P50))&lt;=0,"",MIN(N(INDEX([1]Parametros!G$16:G$20,MATCH($C50,[1]Parametros!$A$16:$A$20,0)))*$K50,N('[1]ATS USA'!P50)))</f>
        <v/>
      </c>
      <c r="R50" s="10" t="str">
        <f>IF(MIN(N(INDEX([1]Parametros!H$16:H$20,MATCH($C50,[1]Parametros!$A$16:$A$20,0)))*$K50,N('[1]ATS USA'!Q50))&lt;=0,"",MIN(N(INDEX([1]Parametros!H$16:H$20,MATCH($C50,[1]Parametros!$A$16:$A$20,0)))*$K50,N('[1]ATS USA'!Q50)))</f>
        <v/>
      </c>
      <c r="S50" s="10" t="str">
        <f>IF(MIN(N(INDEX([1]Parametros!I$16:I$20,MATCH($C50,[1]Parametros!$A$16:$A$20,0)))*$K50,N('[1]ATS USA'!R50))&lt;=0,"",MIN(N(INDEX([1]Parametros!I$16:I$20,MATCH($C50,[1]Parametros!$A$16:$A$20,0)))*$K50,N('[1]ATS USA'!R50)))</f>
        <v/>
      </c>
      <c r="T50" s="10" t="str">
        <f>IF(MIN(N(INDEX([1]Parametros!J$16:J$20,MATCH($C50,[1]Parametros!$A$16:$A$20,0)))*$K50,N('[1]ATS USA'!S50))&lt;=0,"",MIN(N(INDEX([1]Parametros!J$16:J$20,MATCH($C50,[1]Parametros!$A$16:$A$20,0)))*$K50,N('[1]ATS USA'!S50)))</f>
        <v/>
      </c>
      <c r="U50" s="10" t="str">
        <f>IF(MIN(N(INDEX([1]Parametros!K$16:K$20,MATCH($C50,[1]Parametros!$A$16:$A$20,0)))*$K50,N('[1]ATS USA'!T50))&lt;=0,"",MIN(N(INDEX([1]Parametros!K$16:K$20,MATCH($C50,[1]Parametros!$A$16:$A$20,0)))*$K50,N('[1]ATS USA'!T50)))</f>
        <v/>
      </c>
      <c r="V50" s="10" t="str">
        <f>IF(MIN(N(INDEX([1]Parametros!L$16:L$20,MATCH($C50,[1]Parametros!$A$16:$A$20,0)))*$K50,N('[1]ATS USA'!U50))&lt;=0,"",MIN(N(INDEX([1]Parametros!L$16:L$20,MATCH($C50,[1]Parametros!$A$16:$A$20,0)))*$K50,N('[1]ATS USA'!U50)))</f>
        <v/>
      </c>
      <c r="W50" s="9" t="str">
        <f>IF(MIN(N(INDEX([1]Parametros!M$16:M$20,MATCH($C50,[1]Parametros!$A$16:$A$20,0)))*$K50,N('[1]ATS USA'!V50))&lt;=0,"",MIN(N(INDEX([1]Parametros!M$16:M$20,MATCH($C50,[1]Parametros!$A$16:$A$20,0)))*$K50,N('[1]ATS USA'!V50)))</f>
        <v/>
      </c>
      <c r="X50" s="10" t="str">
        <f>IF(MIN(N(INDEX([1]Parametros!N$16:N$20,MATCH($C50,[1]Parametros!$A$16:$A$20,0)))*$K50,N('[1]ATS USA'!W50))&lt;=0,"",MIN(N(INDEX([1]Parametros!N$16:N$20,MATCH($C50,[1]Parametros!$A$16:$A$20,0)))*$K50,N('[1]ATS USA'!W50)))</f>
        <v/>
      </c>
      <c r="Y50" s="9" t="str">
        <f>IF(MIN(N(INDEX([1]Parametros!O$16:O$20,MATCH($C50,[1]Parametros!$A$16:$A$20,0)))*$K50,N('[1]ATS USA'!X50))&lt;=0,"",MIN(N(INDEX([1]Parametros!O$16:O$20,MATCH($C50,[1]Parametros!$A$16:$A$20,0)))*$K50,N('[1]ATS USA'!X50)))</f>
        <v/>
      </c>
      <c r="Z50" s="9" t="str">
        <f>IF(MIN(N(INDEX([1]Parametros!P$16:P$20,MATCH($C50,[1]Parametros!$A$16:$A$20,0)))*$K50,N('[1]ATS USA'!Y50))&lt;=0,"",MIN(N(INDEX([1]Parametros!P$16:P$20,MATCH($C50,[1]Parametros!$A$16:$A$20,0)))*$K50,N('[1]ATS USA'!Y50)))</f>
        <v/>
      </c>
      <c r="AA50" s="9" t="str">
        <f>IF(MIN(N(INDEX([1]Parametros!Q$16:Q$20,MATCH($C50,[1]Parametros!$A$16:$A$20,0)))*$K50,N('[1]ATS USA'!Z50))&lt;=0,"",MIN(N(INDEX([1]Parametros!Q$16:Q$20,MATCH($C50,[1]Parametros!$A$16:$A$20,0)))*$K50,N('[1]ATS USA'!Z50)))</f>
        <v/>
      </c>
      <c r="AB50" s="9" t="str">
        <f>IF(MIN(N(INDEX([1]Parametros!R$16:R$20,MATCH($C50,[1]Parametros!$A$16:$A$20,0)))*$K50,N('[1]ATS USA'!AA50))&lt;=0,"",MIN(N(INDEX([1]Parametros!R$16:R$20,MATCH($C50,[1]Parametros!$A$16:$A$20,0)))*$K50,N('[1]ATS USA'!AA50)))</f>
        <v/>
      </c>
      <c r="AC50" s="9" t="str">
        <f>IF(MIN(N(INDEX([1]Parametros!S$16:S$20,MATCH($C50,[1]Parametros!$A$16:$A$20,0)))*$K50,N('[1]ATS USA'!AB50))&lt;=0,"",MIN(N(INDEX([1]Parametros!S$16:S$20,MATCH($C50,[1]Parametros!$A$16:$A$20,0)))*$K50,N('[1]ATS USA'!AB50)))</f>
        <v/>
      </c>
      <c r="AD50" s="9" t="str">
        <f>IF(MIN(N(INDEX([1]Parametros!T$16:T$20,MATCH($C50,[1]Parametros!$A$16:$A$20,0)))*$K50,N('[1]ATS USA'!AC50))&lt;=0,"",MIN(N(INDEX([1]Parametros!T$16:T$20,MATCH($C50,[1]Parametros!$A$16:$A$20,0)))*$K50,N('[1]ATS USA'!AC50)))</f>
        <v/>
      </c>
      <c r="AE50" s="9" t="str">
        <f>IF(MIN(N(INDEX([1]Parametros!U$16:U$20,MATCH($C50,[1]Parametros!$A$16:$A$20,0)))*$K50,N('[1]ATS USA'!AD50))&lt;=0,"",MIN(N(INDEX([1]Parametros!U$16:U$20,MATCH($C50,[1]Parametros!$A$16:$A$20,0)))*$K50,N('[1]ATS USA'!AD50)))</f>
        <v/>
      </c>
      <c r="AF50" s="11">
        <f t="shared" si="5"/>
        <v>0</v>
      </c>
      <c r="AG50" s="12" t="str">
        <f t="shared" si="1"/>
        <v>OK</v>
      </c>
      <c r="AH50" s="6">
        <f t="shared" si="2"/>
        <v>0</v>
      </c>
      <c r="AI50" s="9">
        <f t="shared" si="3"/>
        <v>0</v>
      </c>
      <c r="AJ50" s="13">
        <f>IF(LEFT($A50,8)="Tránsito",IFERROR(_xlfn.XLOOKUP(--$E50,'[1]Reserva Territorios'!$C:$C,'[1]Reserva Territorios'!$J:$J),0),0)</f>
        <v>0</v>
      </c>
      <c r="AK50" s="13">
        <f t="shared" si="4"/>
        <v>0</v>
      </c>
    </row>
    <row r="51" spans="1:37" ht="48.95" hidden="1" customHeight="1" x14ac:dyDescent="0.25">
      <c r="A51" s="3" t="s">
        <v>37</v>
      </c>
      <c r="B51" s="4" t="s">
        <v>122</v>
      </c>
      <c r="C51" s="4" t="s">
        <v>135</v>
      </c>
      <c r="D51" s="4" t="s">
        <v>206</v>
      </c>
      <c r="E51" s="4" t="s">
        <v>207</v>
      </c>
      <c r="F51" s="4" t="s">
        <v>208</v>
      </c>
      <c r="G51" s="4" t="s">
        <v>209</v>
      </c>
      <c r="H51" s="5">
        <v>26</v>
      </c>
      <c r="I51" s="6">
        <v>90</v>
      </c>
      <c r="J51" s="7">
        <f>ROUND(I51*[1]Parametros!$B$10,-3)</f>
        <v>321000</v>
      </c>
      <c r="K51" s="8">
        <v>0</v>
      </c>
      <c r="L51" s="9" t="str">
        <f>IF(MIN(N(INDEX([1]Parametros!B$16:B$20,MATCH($C51,[1]Parametros!$A$16:$A$20,0)))*$K51,N('[1]ATS USA'!K51))&lt;=0,"",MIN(N(INDEX([1]Parametros!B$16:B$20,MATCH($C51,[1]Parametros!$A$16:$A$20,0)))*$K51,N('[1]ATS USA'!K51)))</f>
        <v/>
      </c>
      <c r="M51" s="9" t="str">
        <f>IF(MIN(N(INDEX([1]Parametros!C$16:C$20,MATCH($C51,[1]Parametros!$A$16:$A$20,0)))*$K51,N('[1]ATS USA'!L51))&lt;=0,"",MIN(N(INDEX([1]Parametros!C$16:C$20,MATCH($C51,[1]Parametros!$A$16:$A$20,0)))*$K51,N('[1]ATS USA'!L51)))</f>
        <v/>
      </c>
      <c r="N51" s="9" t="str">
        <f>IF(MIN(N(INDEX([1]Parametros!D$16:D$20,MATCH($C51,[1]Parametros!$A$16:$A$20,0)))*$K51,N('[1]ATS USA'!M51))&lt;=0,"",MIN(N(INDEX([1]Parametros!D$16:D$20,MATCH($C51,[1]Parametros!$A$16:$A$20,0)))*$K51,N('[1]ATS USA'!M51)))</f>
        <v/>
      </c>
      <c r="O51" s="9" t="str">
        <f>IF(MIN(N(INDEX([1]Parametros!E$16:E$20,MATCH($C51,[1]Parametros!$A$16:$A$20,0)))*$K51,N('[1]ATS USA'!N51))&lt;=0,"",MIN(N(INDEX([1]Parametros!E$16:E$20,MATCH($C51,[1]Parametros!$A$16:$A$20,0)))*$K51,N('[1]ATS USA'!N51)))</f>
        <v/>
      </c>
      <c r="P51" s="10" t="str">
        <f>IF(MIN(N(INDEX([1]Parametros!F$16:F$20,MATCH($C51,[1]Parametros!$A$16:$A$20,0)))*$K51,N('[1]ATS USA'!O51))&lt;=0,"",MIN(N(INDEX([1]Parametros!F$16:F$20,MATCH($C51,[1]Parametros!$A$16:$A$20,0)))*$K51,N('[1]ATS USA'!O51)))</f>
        <v/>
      </c>
      <c r="Q51" s="10" t="str">
        <f>IF(MIN(N(INDEX([1]Parametros!G$16:G$20,MATCH($C51,[1]Parametros!$A$16:$A$20,0)))*$K51,N('[1]ATS USA'!P51))&lt;=0,"",MIN(N(INDEX([1]Parametros!G$16:G$20,MATCH($C51,[1]Parametros!$A$16:$A$20,0)))*$K51,N('[1]ATS USA'!P51)))</f>
        <v/>
      </c>
      <c r="R51" s="10" t="str">
        <f>IF(MIN(N(INDEX([1]Parametros!H$16:H$20,MATCH($C51,[1]Parametros!$A$16:$A$20,0)))*$K51,N('[1]ATS USA'!Q51))&lt;=0,"",MIN(N(INDEX([1]Parametros!H$16:H$20,MATCH($C51,[1]Parametros!$A$16:$A$20,0)))*$K51,N('[1]ATS USA'!Q51)))</f>
        <v/>
      </c>
      <c r="S51" s="10" t="str">
        <f>IF(MIN(N(INDEX([1]Parametros!I$16:I$20,MATCH($C51,[1]Parametros!$A$16:$A$20,0)))*$K51,N('[1]ATS USA'!R51))&lt;=0,"",MIN(N(INDEX([1]Parametros!I$16:I$20,MATCH($C51,[1]Parametros!$A$16:$A$20,0)))*$K51,N('[1]ATS USA'!R51)))</f>
        <v/>
      </c>
      <c r="T51" s="10" t="str">
        <f>IF(MIN(N(INDEX([1]Parametros!J$16:J$20,MATCH($C51,[1]Parametros!$A$16:$A$20,0)))*$K51,N('[1]ATS USA'!S51))&lt;=0,"",MIN(N(INDEX([1]Parametros!J$16:J$20,MATCH($C51,[1]Parametros!$A$16:$A$20,0)))*$K51,N('[1]ATS USA'!S51)))</f>
        <v/>
      </c>
      <c r="U51" s="10" t="str">
        <f>IF(MIN(N(INDEX([1]Parametros!K$16:K$20,MATCH($C51,[1]Parametros!$A$16:$A$20,0)))*$K51,N('[1]ATS USA'!T51))&lt;=0,"",MIN(N(INDEX([1]Parametros!K$16:K$20,MATCH($C51,[1]Parametros!$A$16:$A$20,0)))*$K51,N('[1]ATS USA'!T51)))</f>
        <v/>
      </c>
      <c r="V51" s="10" t="str">
        <f>IF(MIN(N(INDEX([1]Parametros!L$16:L$20,MATCH($C51,[1]Parametros!$A$16:$A$20,0)))*$K51,N('[1]ATS USA'!U51))&lt;=0,"",MIN(N(INDEX([1]Parametros!L$16:L$20,MATCH($C51,[1]Parametros!$A$16:$A$20,0)))*$K51,N('[1]ATS USA'!U51)))</f>
        <v/>
      </c>
      <c r="W51" s="9" t="str">
        <f>IF(MIN(N(INDEX([1]Parametros!M$16:M$20,MATCH($C51,[1]Parametros!$A$16:$A$20,0)))*$K51,N('[1]ATS USA'!V51))&lt;=0,"",MIN(N(INDEX([1]Parametros!M$16:M$20,MATCH($C51,[1]Parametros!$A$16:$A$20,0)))*$K51,N('[1]ATS USA'!V51)))</f>
        <v/>
      </c>
      <c r="X51" s="10" t="str">
        <f>IF(MIN(N(INDEX([1]Parametros!N$16:N$20,MATCH($C51,[1]Parametros!$A$16:$A$20,0)))*$K51,N('[1]ATS USA'!W51))&lt;=0,"",MIN(N(INDEX([1]Parametros!N$16:N$20,MATCH($C51,[1]Parametros!$A$16:$A$20,0)))*$K51,N('[1]ATS USA'!W51)))</f>
        <v/>
      </c>
      <c r="Y51" s="9" t="str">
        <f>IF(MIN(N(INDEX([1]Parametros!O$16:O$20,MATCH($C51,[1]Parametros!$A$16:$A$20,0)))*$K51,N('[1]ATS USA'!X51))&lt;=0,"",MIN(N(INDEX([1]Parametros!O$16:O$20,MATCH($C51,[1]Parametros!$A$16:$A$20,0)))*$K51,N('[1]ATS USA'!X51)))</f>
        <v/>
      </c>
      <c r="Z51" s="9" t="str">
        <f>IF(MIN(N(INDEX([1]Parametros!P$16:P$20,MATCH($C51,[1]Parametros!$A$16:$A$20,0)))*$K51,N('[1]ATS USA'!Y51))&lt;=0,"",MIN(N(INDEX([1]Parametros!P$16:P$20,MATCH($C51,[1]Parametros!$A$16:$A$20,0)))*$K51,N('[1]ATS USA'!Y51)))</f>
        <v/>
      </c>
      <c r="AA51" s="9" t="str">
        <f>IF(MIN(N(INDEX([1]Parametros!Q$16:Q$20,MATCH($C51,[1]Parametros!$A$16:$A$20,0)))*$K51,N('[1]ATS USA'!Z51))&lt;=0,"",MIN(N(INDEX([1]Parametros!Q$16:Q$20,MATCH($C51,[1]Parametros!$A$16:$A$20,0)))*$K51,N('[1]ATS USA'!Z51)))</f>
        <v/>
      </c>
      <c r="AB51" s="9" t="str">
        <f>IF(MIN(N(INDEX([1]Parametros!R$16:R$20,MATCH($C51,[1]Parametros!$A$16:$A$20,0)))*$K51,N('[1]ATS USA'!AA51))&lt;=0,"",MIN(N(INDEX([1]Parametros!R$16:R$20,MATCH($C51,[1]Parametros!$A$16:$A$20,0)))*$K51,N('[1]ATS USA'!AA51)))</f>
        <v/>
      </c>
      <c r="AC51" s="9" t="str">
        <f>IF(MIN(N(INDEX([1]Parametros!S$16:S$20,MATCH($C51,[1]Parametros!$A$16:$A$20,0)))*$K51,N('[1]ATS USA'!AB51))&lt;=0,"",MIN(N(INDEX([1]Parametros!S$16:S$20,MATCH($C51,[1]Parametros!$A$16:$A$20,0)))*$K51,N('[1]ATS USA'!AB51)))</f>
        <v/>
      </c>
      <c r="AD51" s="9" t="str">
        <f>IF(MIN(N(INDEX([1]Parametros!T$16:T$20,MATCH($C51,[1]Parametros!$A$16:$A$20,0)))*$K51,N('[1]ATS USA'!AC51))&lt;=0,"",MIN(N(INDEX([1]Parametros!T$16:T$20,MATCH($C51,[1]Parametros!$A$16:$A$20,0)))*$K51,N('[1]ATS USA'!AC51)))</f>
        <v/>
      </c>
      <c r="AE51" s="9" t="str">
        <f>IF(MIN(N(INDEX([1]Parametros!U$16:U$20,MATCH($C51,[1]Parametros!$A$16:$A$20,0)))*$K51,N('[1]ATS USA'!AD51))&lt;=0,"",MIN(N(INDEX([1]Parametros!U$16:U$20,MATCH($C51,[1]Parametros!$A$16:$A$20,0)))*$K51,N('[1]ATS USA'!AD51)))</f>
        <v/>
      </c>
      <c r="AF51" s="11">
        <f t="shared" si="5"/>
        <v>0</v>
      </c>
      <c r="AG51" s="12" t="str">
        <f t="shared" si="1"/>
        <v>OK</v>
      </c>
      <c r="AH51" s="6">
        <f t="shared" si="2"/>
        <v>0</v>
      </c>
      <c r="AI51" s="9">
        <f t="shared" si="3"/>
        <v>0</v>
      </c>
      <c r="AJ51" s="13">
        <f>IF(LEFT($A51,8)="Tránsito",IFERROR(_xlfn.XLOOKUP(--$E51,'[1]Reserva Territorios'!$C:$C,'[1]Reserva Territorios'!$J:$J),0),0)</f>
        <v>0</v>
      </c>
      <c r="AK51" s="13">
        <f t="shared" si="4"/>
        <v>0</v>
      </c>
    </row>
    <row r="52" spans="1:37" ht="48.95" hidden="1" customHeight="1" x14ac:dyDescent="0.25">
      <c r="A52" s="3" t="s">
        <v>37</v>
      </c>
      <c r="B52" s="4" t="s">
        <v>122</v>
      </c>
      <c r="C52" s="4" t="s">
        <v>135</v>
      </c>
      <c r="D52" s="4" t="s">
        <v>206</v>
      </c>
      <c r="E52" s="4" t="s">
        <v>210</v>
      </c>
      <c r="F52" s="4" t="s">
        <v>211</v>
      </c>
      <c r="G52" s="4" t="s">
        <v>212</v>
      </c>
      <c r="H52" s="5">
        <v>26</v>
      </c>
      <c r="I52" s="6">
        <v>90</v>
      </c>
      <c r="J52" s="7">
        <f>ROUND(I52*[1]Parametros!$B$10,-3)</f>
        <v>321000</v>
      </c>
      <c r="K52" s="8">
        <v>0</v>
      </c>
      <c r="L52" s="9" t="str">
        <f>IF(MIN(N(INDEX([1]Parametros!B$16:B$20,MATCH($C52,[1]Parametros!$A$16:$A$20,0)))*$K52,N('[1]ATS USA'!K52))&lt;=0,"",MIN(N(INDEX([1]Parametros!B$16:B$20,MATCH($C52,[1]Parametros!$A$16:$A$20,0)))*$K52,N('[1]ATS USA'!K52)))</f>
        <v/>
      </c>
      <c r="M52" s="9" t="str">
        <f>IF(MIN(N(INDEX([1]Parametros!C$16:C$20,MATCH($C52,[1]Parametros!$A$16:$A$20,0)))*$K52,N('[1]ATS USA'!L52))&lt;=0,"",MIN(N(INDEX([1]Parametros!C$16:C$20,MATCH($C52,[1]Parametros!$A$16:$A$20,0)))*$K52,N('[1]ATS USA'!L52)))</f>
        <v/>
      </c>
      <c r="N52" s="9" t="str">
        <f>IF(MIN(N(INDEX([1]Parametros!D$16:D$20,MATCH($C52,[1]Parametros!$A$16:$A$20,0)))*$K52,N('[1]ATS USA'!M52))&lt;=0,"",MIN(N(INDEX([1]Parametros!D$16:D$20,MATCH($C52,[1]Parametros!$A$16:$A$20,0)))*$K52,N('[1]ATS USA'!M52)))</f>
        <v/>
      </c>
      <c r="O52" s="9" t="str">
        <f>IF(MIN(N(INDEX([1]Parametros!E$16:E$20,MATCH($C52,[1]Parametros!$A$16:$A$20,0)))*$K52,N('[1]ATS USA'!N52))&lt;=0,"",MIN(N(INDEX([1]Parametros!E$16:E$20,MATCH($C52,[1]Parametros!$A$16:$A$20,0)))*$K52,N('[1]ATS USA'!N52)))</f>
        <v/>
      </c>
      <c r="P52" s="10" t="str">
        <f>IF(MIN(N(INDEX([1]Parametros!F$16:F$20,MATCH($C52,[1]Parametros!$A$16:$A$20,0)))*$K52,N('[1]ATS USA'!O52))&lt;=0,"",MIN(N(INDEX([1]Parametros!F$16:F$20,MATCH($C52,[1]Parametros!$A$16:$A$20,0)))*$K52,N('[1]ATS USA'!O52)))</f>
        <v/>
      </c>
      <c r="Q52" s="10" t="str">
        <f>IF(MIN(N(INDEX([1]Parametros!G$16:G$20,MATCH($C52,[1]Parametros!$A$16:$A$20,0)))*$K52,N('[1]ATS USA'!P52))&lt;=0,"",MIN(N(INDEX([1]Parametros!G$16:G$20,MATCH($C52,[1]Parametros!$A$16:$A$20,0)))*$K52,N('[1]ATS USA'!P52)))</f>
        <v/>
      </c>
      <c r="R52" s="10" t="str">
        <f>IF(MIN(N(INDEX([1]Parametros!H$16:H$20,MATCH($C52,[1]Parametros!$A$16:$A$20,0)))*$K52,N('[1]ATS USA'!Q52))&lt;=0,"",MIN(N(INDEX([1]Parametros!H$16:H$20,MATCH($C52,[1]Parametros!$A$16:$A$20,0)))*$K52,N('[1]ATS USA'!Q52)))</f>
        <v/>
      </c>
      <c r="S52" s="10" t="str">
        <f>IF(MIN(N(INDEX([1]Parametros!I$16:I$20,MATCH($C52,[1]Parametros!$A$16:$A$20,0)))*$K52,N('[1]ATS USA'!R52))&lt;=0,"",MIN(N(INDEX([1]Parametros!I$16:I$20,MATCH($C52,[1]Parametros!$A$16:$A$20,0)))*$K52,N('[1]ATS USA'!R52)))</f>
        <v/>
      </c>
      <c r="T52" s="10" t="str">
        <f>IF(MIN(N(INDEX([1]Parametros!J$16:J$20,MATCH($C52,[1]Parametros!$A$16:$A$20,0)))*$K52,N('[1]ATS USA'!S52))&lt;=0,"",MIN(N(INDEX([1]Parametros!J$16:J$20,MATCH($C52,[1]Parametros!$A$16:$A$20,0)))*$K52,N('[1]ATS USA'!S52)))</f>
        <v/>
      </c>
      <c r="U52" s="10" t="str">
        <f>IF(MIN(N(INDEX([1]Parametros!K$16:K$20,MATCH($C52,[1]Parametros!$A$16:$A$20,0)))*$K52,N('[1]ATS USA'!T52))&lt;=0,"",MIN(N(INDEX([1]Parametros!K$16:K$20,MATCH($C52,[1]Parametros!$A$16:$A$20,0)))*$K52,N('[1]ATS USA'!T52)))</f>
        <v/>
      </c>
      <c r="V52" s="10" t="str">
        <f>IF(MIN(N(INDEX([1]Parametros!L$16:L$20,MATCH($C52,[1]Parametros!$A$16:$A$20,0)))*$K52,N('[1]ATS USA'!U52))&lt;=0,"",MIN(N(INDEX([1]Parametros!L$16:L$20,MATCH($C52,[1]Parametros!$A$16:$A$20,0)))*$K52,N('[1]ATS USA'!U52)))</f>
        <v/>
      </c>
      <c r="W52" s="9" t="str">
        <f>IF(MIN(N(INDEX([1]Parametros!M$16:M$20,MATCH($C52,[1]Parametros!$A$16:$A$20,0)))*$K52,N('[1]ATS USA'!V52))&lt;=0,"",MIN(N(INDEX([1]Parametros!M$16:M$20,MATCH($C52,[1]Parametros!$A$16:$A$20,0)))*$K52,N('[1]ATS USA'!V52)))</f>
        <v/>
      </c>
      <c r="X52" s="10" t="str">
        <f>IF(MIN(N(INDEX([1]Parametros!N$16:N$20,MATCH($C52,[1]Parametros!$A$16:$A$20,0)))*$K52,N('[1]ATS USA'!W52))&lt;=0,"",MIN(N(INDEX([1]Parametros!N$16:N$20,MATCH($C52,[1]Parametros!$A$16:$A$20,0)))*$K52,N('[1]ATS USA'!W52)))</f>
        <v/>
      </c>
      <c r="Y52" s="9" t="str">
        <f>IF(MIN(N(INDEX([1]Parametros!O$16:O$20,MATCH($C52,[1]Parametros!$A$16:$A$20,0)))*$K52,N('[1]ATS USA'!X52))&lt;=0,"",MIN(N(INDEX([1]Parametros!O$16:O$20,MATCH($C52,[1]Parametros!$A$16:$A$20,0)))*$K52,N('[1]ATS USA'!X52)))</f>
        <v/>
      </c>
      <c r="Z52" s="9" t="str">
        <f>IF(MIN(N(INDEX([1]Parametros!P$16:P$20,MATCH($C52,[1]Parametros!$A$16:$A$20,0)))*$K52,N('[1]ATS USA'!Y52))&lt;=0,"",MIN(N(INDEX([1]Parametros!P$16:P$20,MATCH($C52,[1]Parametros!$A$16:$A$20,0)))*$K52,N('[1]ATS USA'!Y52)))</f>
        <v/>
      </c>
      <c r="AA52" s="9" t="str">
        <f>IF(MIN(N(INDEX([1]Parametros!Q$16:Q$20,MATCH($C52,[1]Parametros!$A$16:$A$20,0)))*$K52,N('[1]ATS USA'!Z52))&lt;=0,"",MIN(N(INDEX([1]Parametros!Q$16:Q$20,MATCH($C52,[1]Parametros!$A$16:$A$20,0)))*$K52,N('[1]ATS USA'!Z52)))</f>
        <v/>
      </c>
      <c r="AB52" s="9" t="str">
        <f>IF(MIN(N(INDEX([1]Parametros!R$16:R$20,MATCH($C52,[1]Parametros!$A$16:$A$20,0)))*$K52,N('[1]ATS USA'!AA52))&lt;=0,"",MIN(N(INDEX([1]Parametros!R$16:R$20,MATCH($C52,[1]Parametros!$A$16:$A$20,0)))*$K52,N('[1]ATS USA'!AA52)))</f>
        <v/>
      </c>
      <c r="AC52" s="9" t="str">
        <f>IF(MIN(N(INDEX([1]Parametros!S$16:S$20,MATCH($C52,[1]Parametros!$A$16:$A$20,0)))*$K52,N('[1]ATS USA'!AB52))&lt;=0,"",MIN(N(INDEX([1]Parametros!S$16:S$20,MATCH($C52,[1]Parametros!$A$16:$A$20,0)))*$K52,N('[1]ATS USA'!AB52)))</f>
        <v/>
      </c>
      <c r="AD52" s="9" t="str">
        <f>IF(MIN(N(INDEX([1]Parametros!T$16:T$20,MATCH($C52,[1]Parametros!$A$16:$A$20,0)))*$K52,N('[1]ATS USA'!AC52))&lt;=0,"",MIN(N(INDEX([1]Parametros!T$16:T$20,MATCH($C52,[1]Parametros!$A$16:$A$20,0)))*$K52,N('[1]ATS USA'!AC52)))</f>
        <v/>
      </c>
      <c r="AE52" s="9" t="str">
        <f>IF(MIN(N(INDEX([1]Parametros!U$16:U$20,MATCH($C52,[1]Parametros!$A$16:$A$20,0)))*$K52,N('[1]ATS USA'!AD52))&lt;=0,"",MIN(N(INDEX([1]Parametros!U$16:U$20,MATCH($C52,[1]Parametros!$A$16:$A$20,0)))*$K52,N('[1]ATS USA'!AD52)))</f>
        <v/>
      </c>
      <c r="AF52" s="11">
        <f t="shared" si="5"/>
        <v>0</v>
      </c>
      <c r="AG52" s="12" t="str">
        <f t="shared" si="1"/>
        <v>OK</v>
      </c>
      <c r="AH52" s="6">
        <f t="shared" si="2"/>
        <v>0</v>
      </c>
      <c r="AI52" s="9">
        <f t="shared" si="3"/>
        <v>0</v>
      </c>
      <c r="AJ52" s="13">
        <f>IF(LEFT($A52,8)="Tránsito",IFERROR(_xlfn.XLOOKUP(--$E52,'[1]Reserva Territorios'!$C:$C,'[1]Reserva Territorios'!$J:$J),0),0)</f>
        <v>0</v>
      </c>
      <c r="AK52" s="13">
        <f t="shared" si="4"/>
        <v>0</v>
      </c>
    </row>
    <row r="53" spans="1:37" ht="48.95" hidden="1" customHeight="1" x14ac:dyDescent="0.25">
      <c r="A53" s="3" t="s">
        <v>37</v>
      </c>
      <c r="B53" s="4" t="s">
        <v>122</v>
      </c>
      <c r="C53" s="4" t="s">
        <v>135</v>
      </c>
      <c r="D53" s="4" t="s">
        <v>213</v>
      </c>
      <c r="E53" s="4" t="s">
        <v>214</v>
      </c>
      <c r="F53" s="4" t="s">
        <v>215</v>
      </c>
      <c r="G53" s="4" t="s">
        <v>216</v>
      </c>
      <c r="H53" s="5">
        <v>34.5</v>
      </c>
      <c r="I53" s="6">
        <v>130</v>
      </c>
      <c r="J53" s="7">
        <f>ROUND(I53*[1]Parametros!$B$10,-3)</f>
        <v>464000</v>
      </c>
      <c r="K53" s="8">
        <v>0</v>
      </c>
      <c r="L53" s="9" t="str">
        <f>IF(MIN(N(INDEX([1]Parametros!B$16:B$20,MATCH($C53,[1]Parametros!$A$16:$A$20,0)))*$K53,N('[1]ATS USA'!K53))&lt;=0,"",MIN(N(INDEX([1]Parametros!B$16:B$20,MATCH($C53,[1]Parametros!$A$16:$A$20,0)))*$K53,N('[1]ATS USA'!K53)))</f>
        <v/>
      </c>
      <c r="M53" s="9" t="str">
        <f>IF(MIN(N(INDEX([1]Parametros!C$16:C$20,MATCH($C53,[1]Parametros!$A$16:$A$20,0)))*$K53,N('[1]ATS USA'!L53))&lt;=0,"",MIN(N(INDEX([1]Parametros!C$16:C$20,MATCH($C53,[1]Parametros!$A$16:$A$20,0)))*$K53,N('[1]ATS USA'!L53)))</f>
        <v/>
      </c>
      <c r="N53" s="9" t="str">
        <f>IF(MIN(N(INDEX([1]Parametros!D$16:D$20,MATCH($C53,[1]Parametros!$A$16:$A$20,0)))*$K53,N('[1]ATS USA'!M53))&lt;=0,"",MIN(N(INDEX([1]Parametros!D$16:D$20,MATCH($C53,[1]Parametros!$A$16:$A$20,0)))*$K53,N('[1]ATS USA'!M53)))</f>
        <v/>
      </c>
      <c r="O53" s="9" t="str">
        <f>IF(MIN(N(INDEX([1]Parametros!E$16:E$20,MATCH($C53,[1]Parametros!$A$16:$A$20,0)))*$K53,N('[1]ATS USA'!N53))&lt;=0,"",MIN(N(INDEX([1]Parametros!E$16:E$20,MATCH($C53,[1]Parametros!$A$16:$A$20,0)))*$K53,N('[1]ATS USA'!N53)))</f>
        <v/>
      </c>
      <c r="P53" s="10" t="str">
        <f>IF(MIN(N(INDEX([1]Parametros!F$16:F$20,MATCH($C53,[1]Parametros!$A$16:$A$20,0)))*$K53,N('[1]ATS USA'!O53))&lt;=0,"",MIN(N(INDEX([1]Parametros!F$16:F$20,MATCH($C53,[1]Parametros!$A$16:$A$20,0)))*$K53,N('[1]ATS USA'!O53)))</f>
        <v/>
      </c>
      <c r="Q53" s="10" t="str">
        <f>IF(MIN(N(INDEX([1]Parametros!G$16:G$20,MATCH($C53,[1]Parametros!$A$16:$A$20,0)))*$K53,N('[1]ATS USA'!P53))&lt;=0,"",MIN(N(INDEX([1]Parametros!G$16:G$20,MATCH($C53,[1]Parametros!$A$16:$A$20,0)))*$K53,N('[1]ATS USA'!P53)))</f>
        <v/>
      </c>
      <c r="R53" s="10" t="str">
        <f>IF(MIN(N(INDEX([1]Parametros!H$16:H$20,MATCH($C53,[1]Parametros!$A$16:$A$20,0)))*$K53,N('[1]ATS USA'!Q53))&lt;=0,"",MIN(N(INDEX([1]Parametros!H$16:H$20,MATCH($C53,[1]Parametros!$A$16:$A$20,0)))*$K53,N('[1]ATS USA'!Q53)))</f>
        <v/>
      </c>
      <c r="S53" s="10" t="str">
        <f>IF(MIN(N(INDEX([1]Parametros!I$16:I$20,MATCH($C53,[1]Parametros!$A$16:$A$20,0)))*$K53,N('[1]ATS USA'!R53))&lt;=0,"",MIN(N(INDEX([1]Parametros!I$16:I$20,MATCH($C53,[1]Parametros!$A$16:$A$20,0)))*$K53,N('[1]ATS USA'!R53)))</f>
        <v/>
      </c>
      <c r="T53" s="10" t="str">
        <f>IF(MIN(N(INDEX([1]Parametros!J$16:J$20,MATCH($C53,[1]Parametros!$A$16:$A$20,0)))*$K53,N('[1]ATS USA'!S53))&lt;=0,"",MIN(N(INDEX([1]Parametros!J$16:J$20,MATCH($C53,[1]Parametros!$A$16:$A$20,0)))*$K53,N('[1]ATS USA'!S53)))</f>
        <v/>
      </c>
      <c r="U53" s="10" t="str">
        <f>IF(MIN(N(INDEX([1]Parametros!K$16:K$20,MATCH($C53,[1]Parametros!$A$16:$A$20,0)))*$K53,N('[1]ATS USA'!T53))&lt;=0,"",MIN(N(INDEX([1]Parametros!K$16:K$20,MATCH($C53,[1]Parametros!$A$16:$A$20,0)))*$K53,N('[1]ATS USA'!T53)))</f>
        <v/>
      </c>
      <c r="V53" s="10" t="str">
        <f>IF(MIN(N(INDEX([1]Parametros!L$16:L$20,MATCH($C53,[1]Parametros!$A$16:$A$20,0)))*$K53,N('[1]ATS USA'!U53))&lt;=0,"",MIN(N(INDEX([1]Parametros!L$16:L$20,MATCH($C53,[1]Parametros!$A$16:$A$20,0)))*$K53,N('[1]ATS USA'!U53)))</f>
        <v/>
      </c>
      <c r="W53" s="9" t="str">
        <f>IF(MIN(N(INDEX([1]Parametros!M$16:M$20,MATCH($C53,[1]Parametros!$A$16:$A$20,0)))*$K53,N('[1]ATS USA'!V53))&lt;=0,"",MIN(N(INDEX([1]Parametros!M$16:M$20,MATCH($C53,[1]Parametros!$A$16:$A$20,0)))*$K53,N('[1]ATS USA'!V53)))</f>
        <v/>
      </c>
      <c r="X53" s="9" t="str">
        <f>IF(MIN(N(INDEX([1]Parametros!N$16:N$20,MATCH($C53,[1]Parametros!$A$16:$A$20,0)))*$K53,N('[1]ATS USA'!W53))&lt;=0,"",MIN(N(INDEX([1]Parametros!N$16:N$20,MATCH($C53,[1]Parametros!$A$16:$A$20,0)))*$K53,N('[1]ATS USA'!W53)))</f>
        <v/>
      </c>
      <c r="Y53" s="9" t="str">
        <f>IF(MIN(N(INDEX([1]Parametros!O$16:O$20,MATCH($C53,[1]Parametros!$A$16:$A$20,0)))*$K53,N('[1]ATS USA'!X53))&lt;=0,"",MIN(N(INDEX([1]Parametros!O$16:O$20,MATCH($C53,[1]Parametros!$A$16:$A$20,0)))*$K53,N('[1]ATS USA'!X53)))</f>
        <v/>
      </c>
      <c r="Z53" s="9" t="str">
        <f>IF(MIN(N(INDEX([1]Parametros!P$16:P$20,MATCH($C53,[1]Parametros!$A$16:$A$20,0)))*$K53,N('[1]ATS USA'!Y53))&lt;=0,"",MIN(N(INDEX([1]Parametros!P$16:P$20,MATCH($C53,[1]Parametros!$A$16:$A$20,0)))*$K53,N('[1]ATS USA'!Y53)))</f>
        <v/>
      </c>
      <c r="AA53" s="9" t="str">
        <f>IF(MIN(N(INDEX([1]Parametros!Q$16:Q$20,MATCH($C53,[1]Parametros!$A$16:$A$20,0)))*$K53,N('[1]ATS USA'!Z53))&lt;=0,"",MIN(N(INDEX([1]Parametros!Q$16:Q$20,MATCH($C53,[1]Parametros!$A$16:$A$20,0)))*$K53,N('[1]ATS USA'!Z53)))</f>
        <v/>
      </c>
      <c r="AB53" s="9" t="str">
        <f>IF(MIN(N(INDEX([1]Parametros!R$16:R$20,MATCH($C53,[1]Parametros!$A$16:$A$20,0)))*$K53,N('[1]ATS USA'!AA53))&lt;=0,"",MIN(N(INDEX([1]Parametros!R$16:R$20,MATCH($C53,[1]Parametros!$A$16:$A$20,0)))*$K53,N('[1]ATS USA'!AA53)))</f>
        <v/>
      </c>
      <c r="AC53" s="9" t="str">
        <f>IF(MIN(N(INDEX([1]Parametros!S$16:S$20,MATCH($C53,[1]Parametros!$A$16:$A$20,0)))*$K53,N('[1]ATS USA'!AB53))&lt;=0,"",MIN(N(INDEX([1]Parametros!S$16:S$20,MATCH($C53,[1]Parametros!$A$16:$A$20,0)))*$K53,N('[1]ATS USA'!AB53)))</f>
        <v/>
      </c>
      <c r="AD53" s="9" t="str">
        <f>IF(MIN(N(INDEX([1]Parametros!T$16:T$20,MATCH($C53,[1]Parametros!$A$16:$A$20,0)))*$K53,N('[1]ATS USA'!AC53))&lt;=0,"",MIN(N(INDEX([1]Parametros!T$16:T$20,MATCH($C53,[1]Parametros!$A$16:$A$20,0)))*$K53,N('[1]ATS USA'!AC53)))</f>
        <v/>
      </c>
      <c r="AE53" s="9" t="str">
        <f>IF(MIN(N(INDEX([1]Parametros!U$16:U$20,MATCH($C53,[1]Parametros!$A$16:$A$20,0)))*$K53,N('[1]ATS USA'!AD53))&lt;=0,"",MIN(N(INDEX([1]Parametros!U$16:U$20,MATCH($C53,[1]Parametros!$A$16:$A$20,0)))*$K53,N('[1]ATS USA'!AD53)))</f>
        <v/>
      </c>
      <c r="AF53" s="11">
        <f t="shared" si="5"/>
        <v>0</v>
      </c>
      <c r="AG53" s="12" t="str">
        <f t="shared" si="1"/>
        <v>OK</v>
      </c>
      <c r="AH53" s="6">
        <f t="shared" si="2"/>
        <v>0</v>
      </c>
      <c r="AI53" s="9">
        <f t="shared" si="3"/>
        <v>0</v>
      </c>
      <c r="AJ53" s="13">
        <f>IF(LEFT($A53,8)="Tránsito",IFERROR(_xlfn.XLOOKUP(--$E53,'[1]Reserva Territorios'!$C:$C,'[1]Reserva Territorios'!$J:$J),0),0)</f>
        <v>0</v>
      </c>
      <c r="AK53" s="13">
        <f t="shared" si="4"/>
        <v>0</v>
      </c>
    </row>
    <row r="54" spans="1:37" ht="48.95" customHeight="1" x14ac:dyDescent="0.25">
      <c r="A54" s="3" t="s">
        <v>37</v>
      </c>
      <c r="B54" s="4" t="s">
        <v>122</v>
      </c>
      <c r="C54" s="4" t="s">
        <v>135</v>
      </c>
      <c r="D54" s="4" t="s">
        <v>217</v>
      </c>
      <c r="E54" s="4" t="s">
        <v>218</v>
      </c>
      <c r="F54" s="4" t="s">
        <v>219</v>
      </c>
      <c r="G54" s="4" t="s">
        <v>220</v>
      </c>
      <c r="H54" s="5">
        <v>31.5</v>
      </c>
      <c r="I54" s="6">
        <v>120</v>
      </c>
      <c r="J54" s="7">
        <f>ROUND(I54*[1]Parametros!$B$10,-3)</f>
        <v>428000</v>
      </c>
      <c r="K54" s="8">
        <v>2</v>
      </c>
      <c r="L54" s="9" t="str">
        <f>IF(MIN(N(INDEX([1]Parametros!B$16:B$20,MATCH($C54,[1]Parametros!$A$16:$A$20,0)))*$K54,N('[1]ATS USA'!K54))&lt;=0,"",MIN(N(INDEX([1]Parametros!B$16:B$20,MATCH($C54,[1]Parametros!$A$16:$A$20,0)))*$K54,N('[1]ATS USA'!K54)))</f>
        <v/>
      </c>
      <c r="M54" s="9" t="str">
        <f>IF(MIN(N(INDEX([1]Parametros!C$16:C$20,MATCH($C54,[1]Parametros!$A$16:$A$20,0)))*$K54,N('[1]ATS USA'!L54))&lt;=0,"",MIN(N(INDEX([1]Parametros!C$16:C$20,MATCH($C54,[1]Parametros!$A$16:$A$20,0)))*$K54,N('[1]ATS USA'!L54)))</f>
        <v/>
      </c>
      <c r="N54" s="9" t="str">
        <f>IF(MIN(N(INDEX([1]Parametros!D$16:D$20,MATCH($C54,[1]Parametros!$A$16:$A$20,0)))*$K54,N('[1]ATS USA'!M54))&lt;=0,"",MIN(N(INDEX([1]Parametros!D$16:D$20,MATCH($C54,[1]Parametros!$A$16:$A$20,0)))*$K54,N('[1]ATS USA'!M54)))</f>
        <v/>
      </c>
      <c r="O54" s="9" t="str">
        <f>IF(MIN(N(INDEX([1]Parametros!E$16:E$20,MATCH($C54,[1]Parametros!$A$16:$A$20,0)))*$K54,N('[1]ATS USA'!N54))&lt;=0,"",MIN(N(INDEX([1]Parametros!E$16:E$20,MATCH($C54,[1]Parametros!$A$16:$A$20,0)))*$K54,N('[1]ATS USA'!N54)))</f>
        <v/>
      </c>
      <c r="P54" s="9" t="str">
        <f>IF(MIN(N(INDEX([1]Parametros!F$16:F$20,MATCH($C54,[1]Parametros!$A$16:$A$20,0)))*$K54,N('[1]ATS USA'!O54))&lt;=0,"",MIN(N(INDEX([1]Parametros!F$16:F$20,MATCH($C54,[1]Parametros!$A$16:$A$20,0)))*$K54,N('[1]ATS USA'!O54)))</f>
        <v/>
      </c>
      <c r="Q54" s="9" t="str">
        <f>IF(MIN(N(INDEX([1]Parametros!G$16:G$20,MATCH($C54,[1]Parametros!$A$16:$A$20,0)))*$K54,N('[1]ATS USA'!P54))&lt;=0,"",MIN(N(INDEX([1]Parametros!G$16:G$20,MATCH($C54,[1]Parametros!$A$16:$A$20,0)))*$K54,N('[1]ATS USA'!P54)))</f>
        <v/>
      </c>
      <c r="R54" s="10">
        <f>IF(MIN(N(INDEX([1]Parametros!H$16:H$20,MATCH($C54,[1]Parametros!$A$16:$A$20,0)))*$K54,N('[1]ATS USA'!Q54))&lt;=0,"",MIN(N(INDEX([1]Parametros!H$16:H$20,MATCH($C54,[1]Parametros!$A$16:$A$20,0)))*$K54,N('[1]ATS USA'!Q54)))</f>
        <v>2</v>
      </c>
      <c r="S54" s="10">
        <f>IF(MIN(N(INDEX([1]Parametros!I$16:I$20,MATCH($C54,[1]Parametros!$A$16:$A$20,0)))*$K54,N('[1]ATS USA'!R54))&lt;=0,"",MIN(N(INDEX([1]Parametros!I$16:I$20,MATCH($C54,[1]Parametros!$A$16:$A$20,0)))*$K54,N('[1]ATS USA'!R54)))</f>
        <v>4</v>
      </c>
      <c r="T54" s="10">
        <f>IF(MIN(N(INDEX([1]Parametros!J$16:J$20,MATCH($C54,[1]Parametros!$A$16:$A$20,0)))*$K54,N('[1]ATS USA'!S54))&lt;=0,"",MIN(N(INDEX([1]Parametros!J$16:J$20,MATCH($C54,[1]Parametros!$A$16:$A$20,0)))*$K54,N('[1]ATS USA'!S54)))</f>
        <v>6</v>
      </c>
      <c r="U54" s="10">
        <f>IF(MIN(N(INDEX([1]Parametros!K$16:K$20,MATCH($C54,[1]Parametros!$A$16:$A$20,0)))*$K54,N('[1]ATS USA'!T54))&lt;=0,"",MIN(N(INDEX([1]Parametros!K$16:K$20,MATCH($C54,[1]Parametros!$A$16:$A$20,0)))*$K54,N('[1]ATS USA'!T54)))</f>
        <v>4</v>
      </c>
      <c r="V54" s="10">
        <f>IF(MIN(N(INDEX([1]Parametros!L$16:L$20,MATCH($C54,[1]Parametros!$A$16:$A$20,0)))*$K54,N('[1]ATS USA'!U54))&lt;=0,"",MIN(N(INDEX([1]Parametros!L$16:L$20,MATCH($C54,[1]Parametros!$A$16:$A$20,0)))*$K54,N('[1]ATS USA'!U54)))</f>
        <v>2</v>
      </c>
      <c r="W54" s="9">
        <f>IF(MIN(N(INDEX([1]Parametros!M$16:M$20,MATCH($C54,[1]Parametros!$A$16:$A$20,0)))*$K54,N('[1]ATS USA'!V54))&lt;=0,"",MIN(N(INDEX([1]Parametros!M$16:M$20,MATCH($C54,[1]Parametros!$A$16:$A$20,0)))*$K54,N('[1]ATS USA'!V54)))</f>
        <v>2</v>
      </c>
      <c r="X54" s="10" t="str">
        <f>IF(MIN(N(INDEX([1]Parametros!N$16:N$20,MATCH($C54,[1]Parametros!$A$16:$A$20,0)))*$K54,N('[1]ATS USA'!W54))&lt;=0,"",MIN(N(INDEX([1]Parametros!N$16:N$20,MATCH($C54,[1]Parametros!$A$16:$A$20,0)))*$K54,N('[1]ATS USA'!W54)))</f>
        <v/>
      </c>
      <c r="Y54" s="9" t="str">
        <f>IF(MIN(N(INDEX([1]Parametros!O$16:O$20,MATCH($C54,[1]Parametros!$A$16:$A$20,0)))*$K54,N('[1]ATS USA'!X54))&lt;=0,"",MIN(N(INDEX([1]Parametros!O$16:O$20,MATCH($C54,[1]Parametros!$A$16:$A$20,0)))*$K54,N('[1]ATS USA'!X54)))</f>
        <v/>
      </c>
      <c r="Z54" s="9" t="str">
        <f>IF(MIN(N(INDEX([1]Parametros!P$16:P$20,MATCH($C54,[1]Parametros!$A$16:$A$20,0)))*$K54,N('[1]ATS USA'!Y54))&lt;=0,"",MIN(N(INDEX([1]Parametros!P$16:P$20,MATCH($C54,[1]Parametros!$A$16:$A$20,0)))*$K54,N('[1]ATS USA'!Y54)))</f>
        <v/>
      </c>
      <c r="AA54" s="9" t="str">
        <f>IF(MIN(N(INDEX([1]Parametros!Q$16:Q$20,MATCH($C54,[1]Parametros!$A$16:$A$20,0)))*$K54,N('[1]ATS USA'!Z54))&lt;=0,"",MIN(N(INDEX([1]Parametros!Q$16:Q$20,MATCH($C54,[1]Parametros!$A$16:$A$20,0)))*$K54,N('[1]ATS USA'!Z54)))</f>
        <v/>
      </c>
      <c r="AB54" s="9" t="str">
        <f>IF(MIN(N(INDEX([1]Parametros!R$16:R$20,MATCH($C54,[1]Parametros!$A$16:$A$20,0)))*$K54,N('[1]ATS USA'!AA54))&lt;=0,"",MIN(N(INDEX([1]Parametros!R$16:R$20,MATCH($C54,[1]Parametros!$A$16:$A$20,0)))*$K54,N('[1]ATS USA'!AA54)))</f>
        <v/>
      </c>
      <c r="AC54" s="9" t="str">
        <f>IF(MIN(N(INDEX([1]Parametros!S$16:S$20,MATCH($C54,[1]Parametros!$A$16:$A$20,0)))*$K54,N('[1]ATS USA'!AB54))&lt;=0,"",MIN(N(INDEX([1]Parametros!S$16:S$20,MATCH($C54,[1]Parametros!$A$16:$A$20,0)))*$K54,N('[1]ATS USA'!AB54)))</f>
        <v/>
      </c>
      <c r="AD54" s="9" t="str">
        <f>IF(MIN(N(INDEX([1]Parametros!T$16:T$20,MATCH($C54,[1]Parametros!$A$16:$A$20,0)))*$K54,N('[1]ATS USA'!AC54))&lt;=0,"",MIN(N(INDEX([1]Parametros!T$16:T$20,MATCH($C54,[1]Parametros!$A$16:$A$20,0)))*$K54,N('[1]ATS USA'!AC54)))</f>
        <v/>
      </c>
      <c r="AE54" s="9" t="str">
        <f>IF(MIN(N(INDEX([1]Parametros!U$16:U$20,MATCH($C54,[1]Parametros!$A$16:$A$20,0)))*$K54,N('[1]ATS USA'!AD54))&lt;=0,"",MIN(N(INDEX([1]Parametros!U$16:U$20,MATCH($C54,[1]Parametros!$A$16:$A$20,0)))*$K54,N('[1]ATS USA'!AD54)))</f>
        <v/>
      </c>
      <c r="AF54" s="11">
        <f t="shared" si="5"/>
        <v>20</v>
      </c>
      <c r="AG54" s="12" t="str">
        <f t="shared" si="1"/>
        <v>AJUSTAR</v>
      </c>
      <c r="AH54" s="6">
        <f t="shared" si="2"/>
        <v>630</v>
      </c>
      <c r="AI54" s="9">
        <f t="shared" si="3"/>
        <v>4</v>
      </c>
      <c r="AJ54" s="13">
        <f>IF(LEFT($A54,8)="Tránsito",IFERROR(_xlfn.XLOOKUP(--$E54,'[1]Reserva Territorios'!$C:$C,'[1]Reserva Territorios'!$J:$J),0),0)</f>
        <v>0</v>
      </c>
      <c r="AK54" s="13">
        <f t="shared" si="4"/>
        <v>20</v>
      </c>
    </row>
    <row r="55" spans="1:37" ht="48.95" customHeight="1" x14ac:dyDescent="0.25">
      <c r="A55" s="3" t="s">
        <v>37</v>
      </c>
      <c r="B55" s="4" t="s">
        <v>122</v>
      </c>
      <c r="C55" s="4" t="s">
        <v>135</v>
      </c>
      <c r="D55" s="4" t="s">
        <v>217</v>
      </c>
      <c r="E55" s="4" t="s">
        <v>221</v>
      </c>
      <c r="F55" s="4" t="s">
        <v>222</v>
      </c>
      <c r="G55" s="4" t="s">
        <v>223</v>
      </c>
      <c r="H55" s="5">
        <v>31.5</v>
      </c>
      <c r="I55" s="6">
        <v>120</v>
      </c>
      <c r="J55" s="7">
        <f>ROUND(I55*[1]Parametros!$B$10,-3)</f>
        <v>428000</v>
      </c>
      <c r="K55" s="8">
        <v>2</v>
      </c>
      <c r="L55" s="9" t="str">
        <f>IF(MIN(N(INDEX([1]Parametros!B$16:B$20,MATCH($C55,[1]Parametros!$A$16:$A$20,0)))*$K55,N('[1]ATS USA'!K55))&lt;=0,"",MIN(N(INDEX([1]Parametros!B$16:B$20,MATCH($C55,[1]Parametros!$A$16:$A$20,0)))*$K55,N('[1]ATS USA'!K55)))</f>
        <v/>
      </c>
      <c r="M55" s="9" t="str">
        <f>IF(MIN(N(INDEX([1]Parametros!C$16:C$20,MATCH($C55,[1]Parametros!$A$16:$A$20,0)))*$K55,N('[1]ATS USA'!L55))&lt;=0,"",MIN(N(INDEX([1]Parametros!C$16:C$20,MATCH($C55,[1]Parametros!$A$16:$A$20,0)))*$K55,N('[1]ATS USA'!L55)))</f>
        <v/>
      </c>
      <c r="N55" s="9" t="str">
        <f>IF(MIN(N(INDEX([1]Parametros!D$16:D$20,MATCH($C55,[1]Parametros!$A$16:$A$20,0)))*$K55,N('[1]ATS USA'!M55))&lt;=0,"",MIN(N(INDEX([1]Parametros!D$16:D$20,MATCH($C55,[1]Parametros!$A$16:$A$20,0)))*$K55,N('[1]ATS USA'!M55)))</f>
        <v/>
      </c>
      <c r="O55" s="9" t="str">
        <f>IF(MIN(N(INDEX([1]Parametros!E$16:E$20,MATCH($C55,[1]Parametros!$A$16:$A$20,0)))*$K55,N('[1]ATS USA'!N55))&lt;=0,"",MIN(N(INDEX([1]Parametros!E$16:E$20,MATCH($C55,[1]Parametros!$A$16:$A$20,0)))*$K55,N('[1]ATS USA'!N55)))</f>
        <v/>
      </c>
      <c r="P55" s="10">
        <f>IF(MIN(N(INDEX([1]Parametros!F$16:F$20,MATCH($C55,[1]Parametros!$A$16:$A$20,0)))*$K55,N('[1]ATS USA'!O55))&lt;=0,"",MIN(N(INDEX([1]Parametros!F$16:F$20,MATCH($C55,[1]Parametros!$A$16:$A$20,0)))*$K55,N('[1]ATS USA'!O55)))</f>
        <v>2</v>
      </c>
      <c r="Q55" s="10">
        <f>IF(MIN(N(INDEX([1]Parametros!G$16:G$20,MATCH($C55,[1]Parametros!$A$16:$A$20,0)))*$K55,N('[1]ATS USA'!P55))&lt;=0,"",MIN(N(INDEX([1]Parametros!G$16:G$20,MATCH($C55,[1]Parametros!$A$16:$A$20,0)))*$K55,N('[1]ATS USA'!P55)))</f>
        <v>2</v>
      </c>
      <c r="R55" s="10">
        <f>IF(MIN(N(INDEX([1]Parametros!H$16:H$20,MATCH($C55,[1]Parametros!$A$16:$A$20,0)))*$K55,N('[1]ATS USA'!Q55))&lt;=0,"",MIN(N(INDEX([1]Parametros!H$16:H$20,MATCH($C55,[1]Parametros!$A$16:$A$20,0)))*$K55,N('[1]ATS USA'!Q55)))</f>
        <v>2</v>
      </c>
      <c r="S55" s="10">
        <f>IF(MIN(N(INDEX([1]Parametros!I$16:I$20,MATCH($C55,[1]Parametros!$A$16:$A$20,0)))*$K55,N('[1]ATS USA'!R55))&lt;=0,"",MIN(N(INDEX([1]Parametros!I$16:I$20,MATCH($C55,[1]Parametros!$A$16:$A$20,0)))*$K55,N('[1]ATS USA'!R55)))</f>
        <v>4</v>
      </c>
      <c r="T55" s="10">
        <f>IF(MIN(N(INDEX([1]Parametros!J$16:J$20,MATCH($C55,[1]Parametros!$A$16:$A$20,0)))*$K55,N('[1]ATS USA'!S55))&lt;=0,"",MIN(N(INDEX([1]Parametros!J$16:J$20,MATCH($C55,[1]Parametros!$A$16:$A$20,0)))*$K55,N('[1]ATS USA'!S55)))</f>
        <v>6</v>
      </c>
      <c r="U55" s="10">
        <f>IF(MIN(N(INDEX([1]Parametros!K$16:K$20,MATCH($C55,[1]Parametros!$A$16:$A$20,0)))*$K55,N('[1]ATS USA'!T55))&lt;=0,"",MIN(N(INDEX([1]Parametros!K$16:K$20,MATCH($C55,[1]Parametros!$A$16:$A$20,0)))*$K55,N('[1]ATS USA'!T55)))</f>
        <v>4</v>
      </c>
      <c r="V55" s="10">
        <f>IF(MIN(N(INDEX([1]Parametros!L$16:L$20,MATCH($C55,[1]Parametros!$A$16:$A$20,0)))*$K55,N('[1]ATS USA'!U55))&lt;=0,"",MIN(N(INDEX([1]Parametros!L$16:L$20,MATCH($C55,[1]Parametros!$A$16:$A$20,0)))*$K55,N('[1]ATS USA'!U55)))</f>
        <v>2</v>
      </c>
      <c r="W55" s="9">
        <f>IF(MIN(N(INDEX([1]Parametros!M$16:M$20,MATCH($C55,[1]Parametros!$A$16:$A$20,0)))*$K55,N('[1]ATS USA'!V55))&lt;=0,"",MIN(N(INDEX([1]Parametros!M$16:M$20,MATCH($C55,[1]Parametros!$A$16:$A$20,0)))*$K55,N('[1]ATS USA'!V55)))</f>
        <v>2</v>
      </c>
      <c r="X55" s="10" t="str">
        <f>IF(MIN(N(INDEX([1]Parametros!N$16:N$20,MATCH($C55,[1]Parametros!$A$16:$A$20,0)))*$K55,N('[1]ATS USA'!W55))&lt;=0,"",MIN(N(INDEX([1]Parametros!N$16:N$20,MATCH($C55,[1]Parametros!$A$16:$A$20,0)))*$K55,N('[1]ATS USA'!W55)))</f>
        <v/>
      </c>
      <c r="Y55" s="9" t="str">
        <f>IF(MIN(N(INDEX([1]Parametros!O$16:O$20,MATCH($C55,[1]Parametros!$A$16:$A$20,0)))*$K55,N('[1]ATS USA'!X55))&lt;=0,"",MIN(N(INDEX([1]Parametros!O$16:O$20,MATCH($C55,[1]Parametros!$A$16:$A$20,0)))*$K55,N('[1]ATS USA'!X55)))</f>
        <v/>
      </c>
      <c r="Z55" s="9" t="str">
        <f>IF(MIN(N(INDEX([1]Parametros!P$16:P$20,MATCH($C55,[1]Parametros!$A$16:$A$20,0)))*$K55,N('[1]ATS USA'!Y55))&lt;=0,"",MIN(N(INDEX([1]Parametros!P$16:P$20,MATCH($C55,[1]Parametros!$A$16:$A$20,0)))*$K55,N('[1]ATS USA'!Y55)))</f>
        <v/>
      </c>
      <c r="AA55" s="9" t="str">
        <f>IF(MIN(N(INDEX([1]Parametros!Q$16:Q$20,MATCH($C55,[1]Parametros!$A$16:$A$20,0)))*$K55,N('[1]ATS USA'!Z55))&lt;=0,"",MIN(N(INDEX([1]Parametros!Q$16:Q$20,MATCH($C55,[1]Parametros!$A$16:$A$20,0)))*$K55,N('[1]ATS USA'!Z55)))</f>
        <v/>
      </c>
      <c r="AB55" s="9" t="str">
        <f>IF(MIN(N(INDEX([1]Parametros!R$16:R$20,MATCH($C55,[1]Parametros!$A$16:$A$20,0)))*$K55,N('[1]ATS USA'!AA55))&lt;=0,"",MIN(N(INDEX([1]Parametros!R$16:R$20,MATCH($C55,[1]Parametros!$A$16:$A$20,0)))*$K55,N('[1]ATS USA'!AA55)))</f>
        <v/>
      </c>
      <c r="AC55" s="9" t="str">
        <f>IF(MIN(N(INDEX([1]Parametros!S$16:S$20,MATCH($C55,[1]Parametros!$A$16:$A$20,0)))*$K55,N('[1]ATS USA'!AB55))&lt;=0,"",MIN(N(INDEX([1]Parametros!S$16:S$20,MATCH($C55,[1]Parametros!$A$16:$A$20,0)))*$K55,N('[1]ATS USA'!AB55)))</f>
        <v/>
      </c>
      <c r="AD55" s="9" t="str">
        <f>IF(MIN(N(INDEX([1]Parametros!T$16:T$20,MATCH($C55,[1]Parametros!$A$16:$A$20,0)))*$K55,N('[1]ATS USA'!AC55))&lt;=0,"",MIN(N(INDEX([1]Parametros!T$16:T$20,MATCH($C55,[1]Parametros!$A$16:$A$20,0)))*$K55,N('[1]ATS USA'!AC55)))</f>
        <v/>
      </c>
      <c r="AE55" s="9" t="str">
        <f>IF(MIN(N(INDEX([1]Parametros!U$16:U$20,MATCH($C55,[1]Parametros!$A$16:$A$20,0)))*$K55,N('[1]ATS USA'!AD55))&lt;=0,"",MIN(N(INDEX([1]Parametros!U$16:U$20,MATCH($C55,[1]Parametros!$A$16:$A$20,0)))*$K55,N('[1]ATS USA'!AD55)))</f>
        <v/>
      </c>
      <c r="AF55" s="11">
        <f t="shared" si="5"/>
        <v>24</v>
      </c>
      <c r="AG55" s="12" t="str">
        <f t="shared" si="1"/>
        <v>OK</v>
      </c>
      <c r="AH55" s="6">
        <f t="shared" si="2"/>
        <v>756</v>
      </c>
      <c r="AI55" s="9">
        <f t="shared" si="3"/>
        <v>0</v>
      </c>
      <c r="AJ55" s="13">
        <f>IF(LEFT($A55,8)="Tránsito",IFERROR(_xlfn.XLOOKUP(--$E55,'[1]Reserva Territorios'!$C:$C,'[1]Reserva Territorios'!$J:$J),0),0)</f>
        <v>0</v>
      </c>
      <c r="AK55" s="13">
        <f t="shared" si="4"/>
        <v>24</v>
      </c>
    </row>
    <row r="56" spans="1:37" ht="48.95" customHeight="1" x14ac:dyDescent="0.25">
      <c r="A56" s="3" t="s">
        <v>37</v>
      </c>
      <c r="B56" s="4" t="s">
        <v>122</v>
      </c>
      <c r="C56" s="4" t="s">
        <v>135</v>
      </c>
      <c r="D56" s="4" t="s">
        <v>224</v>
      </c>
      <c r="E56" s="4" t="s">
        <v>225</v>
      </c>
      <c r="F56" s="4" t="s">
        <v>226</v>
      </c>
      <c r="G56" s="4" t="s">
        <v>227</v>
      </c>
      <c r="H56" s="5">
        <v>31.5</v>
      </c>
      <c r="I56" s="6">
        <v>120</v>
      </c>
      <c r="J56" s="7">
        <f>ROUND(I56*[1]Parametros!$B$10,-3)</f>
        <v>428000</v>
      </c>
      <c r="K56" s="8">
        <v>2</v>
      </c>
      <c r="L56" s="9" t="str">
        <f>IF(MIN(N(INDEX([1]Parametros!B$16:B$20,MATCH($C56,[1]Parametros!$A$16:$A$20,0)))*$K56,N('[1]ATS USA'!K56))&lt;=0,"",MIN(N(INDEX([1]Parametros!B$16:B$20,MATCH($C56,[1]Parametros!$A$16:$A$20,0)))*$K56,N('[1]ATS USA'!K56)))</f>
        <v/>
      </c>
      <c r="M56" s="9" t="str">
        <f>IF(MIN(N(INDEX([1]Parametros!C$16:C$20,MATCH($C56,[1]Parametros!$A$16:$A$20,0)))*$K56,N('[1]ATS USA'!L56))&lt;=0,"",MIN(N(INDEX([1]Parametros!C$16:C$20,MATCH($C56,[1]Parametros!$A$16:$A$20,0)))*$K56,N('[1]ATS USA'!L56)))</f>
        <v/>
      </c>
      <c r="N56" s="9" t="str">
        <f>IF(MIN(N(INDEX([1]Parametros!D$16:D$20,MATCH($C56,[1]Parametros!$A$16:$A$20,0)))*$K56,N('[1]ATS USA'!M56))&lt;=0,"",MIN(N(INDEX([1]Parametros!D$16:D$20,MATCH($C56,[1]Parametros!$A$16:$A$20,0)))*$K56,N('[1]ATS USA'!M56)))</f>
        <v/>
      </c>
      <c r="O56" s="9" t="str">
        <f>IF(MIN(N(INDEX([1]Parametros!E$16:E$20,MATCH($C56,[1]Parametros!$A$16:$A$20,0)))*$K56,N('[1]ATS USA'!N56))&lt;=0,"",MIN(N(INDEX([1]Parametros!E$16:E$20,MATCH($C56,[1]Parametros!$A$16:$A$20,0)))*$K56,N('[1]ATS USA'!N56)))</f>
        <v/>
      </c>
      <c r="P56" s="10">
        <f>IF(MIN(N(INDEX([1]Parametros!F$16:F$20,MATCH($C56,[1]Parametros!$A$16:$A$20,0)))*$K56,N('[1]ATS USA'!O56))&lt;=0,"",MIN(N(INDEX([1]Parametros!F$16:F$20,MATCH($C56,[1]Parametros!$A$16:$A$20,0)))*$K56,N('[1]ATS USA'!O56)))</f>
        <v>2</v>
      </c>
      <c r="Q56" s="10">
        <f>IF(MIN(N(INDEX([1]Parametros!G$16:G$20,MATCH($C56,[1]Parametros!$A$16:$A$20,0)))*$K56,N('[1]ATS USA'!P56))&lt;=0,"",MIN(N(INDEX([1]Parametros!G$16:G$20,MATCH($C56,[1]Parametros!$A$16:$A$20,0)))*$K56,N('[1]ATS USA'!P56)))</f>
        <v>2</v>
      </c>
      <c r="R56" s="10">
        <f>IF(MIN(N(INDEX([1]Parametros!H$16:H$20,MATCH($C56,[1]Parametros!$A$16:$A$20,0)))*$K56,N('[1]ATS USA'!Q56))&lt;=0,"",MIN(N(INDEX([1]Parametros!H$16:H$20,MATCH($C56,[1]Parametros!$A$16:$A$20,0)))*$K56,N('[1]ATS USA'!Q56)))</f>
        <v>2</v>
      </c>
      <c r="S56" s="10">
        <f>IF(MIN(N(INDEX([1]Parametros!I$16:I$20,MATCH($C56,[1]Parametros!$A$16:$A$20,0)))*$K56,N('[1]ATS USA'!R56))&lt;=0,"",MIN(N(INDEX([1]Parametros!I$16:I$20,MATCH($C56,[1]Parametros!$A$16:$A$20,0)))*$K56,N('[1]ATS USA'!R56)))</f>
        <v>4</v>
      </c>
      <c r="T56" s="10">
        <f>IF(MIN(N(INDEX([1]Parametros!J$16:J$20,MATCH($C56,[1]Parametros!$A$16:$A$20,0)))*$K56,N('[1]ATS USA'!S56))&lt;=0,"",MIN(N(INDEX([1]Parametros!J$16:J$20,MATCH($C56,[1]Parametros!$A$16:$A$20,0)))*$K56,N('[1]ATS USA'!S56)))</f>
        <v>6</v>
      </c>
      <c r="U56" s="10">
        <f>IF(MIN(N(INDEX([1]Parametros!K$16:K$20,MATCH($C56,[1]Parametros!$A$16:$A$20,0)))*$K56,N('[1]ATS USA'!T56))&lt;=0,"",MIN(N(INDEX([1]Parametros!K$16:K$20,MATCH($C56,[1]Parametros!$A$16:$A$20,0)))*$K56,N('[1]ATS USA'!T56)))</f>
        <v>4</v>
      </c>
      <c r="V56" s="10">
        <f>IF(MIN(N(INDEX([1]Parametros!L$16:L$20,MATCH($C56,[1]Parametros!$A$16:$A$20,0)))*$K56,N('[1]ATS USA'!U56))&lt;=0,"",MIN(N(INDEX([1]Parametros!L$16:L$20,MATCH($C56,[1]Parametros!$A$16:$A$20,0)))*$K56,N('[1]ATS USA'!U56)))</f>
        <v>2</v>
      </c>
      <c r="W56" s="9">
        <f>IF(MIN(N(INDEX([1]Parametros!M$16:M$20,MATCH($C56,[1]Parametros!$A$16:$A$20,0)))*$K56,N('[1]ATS USA'!V56))&lt;=0,"",MIN(N(INDEX([1]Parametros!M$16:M$20,MATCH($C56,[1]Parametros!$A$16:$A$20,0)))*$K56,N('[1]ATS USA'!V56)))</f>
        <v>2</v>
      </c>
      <c r="X56" s="10" t="str">
        <f>IF(MIN(N(INDEX([1]Parametros!N$16:N$20,MATCH($C56,[1]Parametros!$A$16:$A$20,0)))*$K56,N('[1]ATS USA'!W56))&lt;=0,"",MIN(N(INDEX([1]Parametros!N$16:N$20,MATCH($C56,[1]Parametros!$A$16:$A$20,0)))*$K56,N('[1]ATS USA'!W56)))</f>
        <v/>
      </c>
      <c r="Y56" s="9" t="str">
        <f>IF(MIN(N(INDEX([1]Parametros!O$16:O$20,MATCH($C56,[1]Parametros!$A$16:$A$20,0)))*$K56,N('[1]ATS USA'!X56))&lt;=0,"",MIN(N(INDEX([1]Parametros!O$16:O$20,MATCH($C56,[1]Parametros!$A$16:$A$20,0)))*$K56,N('[1]ATS USA'!X56)))</f>
        <v/>
      </c>
      <c r="Z56" s="9" t="str">
        <f>IF(MIN(N(INDEX([1]Parametros!P$16:P$20,MATCH($C56,[1]Parametros!$A$16:$A$20,0)))*$K56,N('[1]ATS USA'!Y56))&lt;=0,"",MIN(N(INDEX([1]Parametros!P$16:P$20,MATCH($C56,[1]Parametros!$A$16:$A$20,0)))*$K56,N('[1]ATS USA'!Y56)))</f>
        <v/>
      </c>
      <c r="AA56" s="9" t="str">
        <f>IF(MIN(N(INDEX([1]Parametros!Q$16:Q$20,MATCH($C56,[1]Parametros!$A$16:$A$20,0)))*$K56,N('[1]ATS USA'!Z56))&lt;=0,"",MIN(N(INDEX([1]Parametros!Q$16:Q$20,MATCH($C56,[1]Parametros!$A$16:$A$20,0)))*$K56,N('[1]ATS USA'!Z56)))</f>
        <v/>
      </c>
      <c r="AB56" s="9" t="str">
        <f>IF(MIN(N(INDEX([1]Parametros!R$16:R$20,MATCH($C56,[1]Parametros!$A$16:$A$20,0)))*$K56,N('[1]ATS USA'!AA56))&lt;=0,"",MIN(N(INDEX([1]Parametros!R$16:R$20,MATCH($C56,[1]Parametros!$A$16:$A$20,0)))*$K56,N('[1]ATS USA'!AA56)))</f>
        <v/>
      </c>
      <c r="AC56" s="9" t="str">
        <f>IF(MIN(N(INDEX([1]Parametros!S$16:S$20,MATCH($C56,[1]Parametros!$A$16:$A$20,0)))*$K56,N('[1]ATS USA'!AB56))&lt;=0,"",MIN(N(INDEX([1]Parametros!S$16:S$20,MATCH($C56,[1]Parametros!$A$16:$A$20,0)))*$K56,N('[1]ATS USA'!AB56)))</f>
        <v/>
      </c>
      <c r="AD56" s="9" t="str">
        <f>IF(MIN(N(INDEX([1]Parametros!T$16:T$20,MATCH($C56,[1]Parametros!$A$16:$A$20,0)))*$K56,N('[1]ATS USA'!AC56))&lt;=0,"",MIN(N(INDEX([1]Parametros!T$16:T$20,MATCH($C56,[1]Parametros!$A$16:$A$20,0)))*$K56,N('[1]ATS USA'!AC56)))</f>
        <v/>
      </c>
      <c r="AE56" s="9" t="str">
        <f>IF(MIN(N(INDEX([1]Parametros!U$16:U$20,MATCH($C56,[1]Parametros!$A$16:$A$20,0)))*$K56,N('[1]ATS USA'!AD56))&lt;=0,"",MIN(N(INDEX([1]Parametros!U$16:U$20,MATCH($C56,[1]Parametros!$A$16:$A$20,0)))*$K56,N('[1]ATS USA'!AD56)))</f>
        <v/>
      </c>
      <c r="AF56" s="11">
        <f t="shared" si="5"/>
        <v>24</v>
      </c>
      <c r="AG56" s="12" t="str">
        <f t="shared" si="1"/>
        <v>OK</v>
      </c>
      <c r="AH56" s="6">
        <f t="shared" si="2"/>
        <v>756</v>
      </c>
      <c r="AI56" s="9">
        <f t="shared" si="3"/>
        <v>0</v>
      </c>
      <c r="AJ56" s="13">
        <f>IF(LEFT($A56,8)="Tránsito",IFERROR(_xlfn.XLOOKUP(--$E56,'[1]Reserva Territorios'!$C:$C,'[1]Reserva Territorios'!$J:$J),0),0)</f>
        <v>0</v>
      </c>
      <c r="AK56" s="13">
        <f t="shared" si="4"/>
        <v>24</v>
      </c>
    </row>
    <row r="57" spans="1:37" ht="48.95" customHeight="1" x14ac:dyDescent="0.25">
      <c r="A57" s="3" t="s">
        <v>37</v>
      </c>
      <c r="B57" s="4" t="s">
        <v>122</v>
      </c>
      <c r="C57" s="4" t="s">
        <v>135</v>
      </c>
      <c r="D57" s="4" t="s">
        <v>228</v>
      </c>
      <c r="E57" s="4" t="s">
        <v>229</v>
      </c>
      <c r="F57" s="4" t="s">
        <v>230</v>
      </c>
      <c r="G57" s="4" t="s">
        <v>186</v>
      </c>
      <c r="H57" s="5">
        <v>32</v>
      </c>
      <c r="I57" s="6">
        <v>125</v>
      </c>
      <c r="J57" s="7">
        <f>ROUND(I57*[1]Parametros!$B$10,-3)</f>
        <v>446000</v>
      </c>
      <c r="K57" s="8">
        <v>2</v>
      </c>
      <c r="L57" s="9" t="str">
        <f>IF(MIN(N(INDEX([1]Parametros!B$16:B$20,MATCH($C57,[1]Parametros!$A$16:$A$20,0)))*$K57,N('[1]ATS USA'!K57))&lt;=0,"",MIN(N(INDEX([1]Parametros!B$16:B$20,MATCH($C57,[1]Parametros!$A$16:$A$20,0)))*$K57,N('[1]ATS USA'!K57)))</f>
        <v/>
      </c>
      <c r="M57" s="9" t="str">
        <f>IF(MIN(N(INDEX([1]Parametros!C$16:C$20,MATCH($C57,[1]Parametros!$A$16:$A$20,0)))*$K57,N('[1]ATS USA'!L57))&lt;=0,"",MIN(N(INDEX([1]Parametros!C$16:C$20,MATCH($C57,[1]Parametros!$A$16:$A$20,0)))*$K57,N('[1]ATS USA'!L57)))</f>
        <v/>
      </c>
      <c r="N57" s="9" t="str">
        <f>IF(MIN(N(INDEX([1]Parametros!D$16:D$20,MATCH($C57,[1]Parametros!$A$16:$A$20,0)))*$K57,N('[1]ATS USA'!M57))&lt;=0,"",MIN(N(INDEX([1]Parametros!D$16:D$20,MATCH($C57,[1]Parametros!$A$16:$A$20,0)))*$K57,N('[1]ATS USA'!M57)))</f>
        <v/>
      </c>
      <c r="O57" s="9" t="str">
        <f>IF(MIN(N(INDEX([1]Parametros!E$16:E$20,MATCH($C57,[1]Parametros!$A$16:$A$20,0)))*$K57,N('[1]ATS USA'!N57))&lt;=0,"",MIN(N(INDEX([1]Parametros!E$16:E$20,MATCH($C57,[1]Parametros!$A$16:$A$20,0)))*$K57,N('[1]ATS USA'!N57)))</f>
        <v/>
      </c>
      <c r="P57" s="10">
        <f>IF(MIN(N(INDEX([1]Parametros!F$16:F$20,MATCH($C57,[1]Parametros!$A$16:$A$20,0)))*$K57,N('[1]ATS USA'!O57))&lt;=0,"",MIN(N(INDEX([1]Parametros!F$16:F$20,MATCH($C57,[1]Parametros!$A$16:$A$20,0)))*$K57,N('[1]ATS USA'!O57)))</f>
        <v>2</v>
      </c>
      <c r="Q57" s="10">
        <f>IF(MIN(N(INDEX([1]Parametros!G$16:G$20,MATCH($C57,[1]Parametros!$A$16:$A$20,0)))*$K57,N('[1]ATS USA'!P57))&lt;=0,"",MIN(N(INDEX([1]Parametros!G$16:G$20,MATCH($C57,[1]Parametros!$A$16:$A$20,0)))*$K57,N('[1]ATS USA'!P57)))</f>
        <v>2</v>
      </c>
      <c r="R57" s="10">
        <f>IF(MIN(N(INDEX([1]Parametros!H$16:H$20,MATCH($C57,[1]Parametros!$A$16:$A$20,0)))*$K57,N('[1]ATS USA'!Q57))&lt;=0,"",MIN(N(INDEX([1]Parametros!H$16:H$20,MATCH($C57,[1]Parametros!$A$16:$A$20,0)))*$K57,N('[1]ATS USA'!Q57)))</f>
        <v>2</v>
      </c>
      <c r="S57" s="10">
        <f>IF(MIN(N(INDEX([1]Parametros!I$16:I$20,MATCH($C57,[1]Parametros!$A$16:$A$20,0)))*$K57,N('[1]ATS USA'!R57))&lt;=0,"",MIN(N(INDEX([1]Parametros!I$16:I$20,MATCH($C57,[1]Parametros!$A$16:$A$20,0)))*$K57,N('[1]ATS USA'!R57)))</f>
        <v>4</v>
      </c>
      <c r="T57" s="10">
        <f>IF(MIN(N(INDEX([1]Parametros!J$16:J$20,MATCH($C57,[1]Parametros!$A$16:$A$20,0)))*$K57,N('[1]ATS USA'!S57))&lt;=0,"",MIN(N(INDEX([1]Parametros!J$16:J$20,MATCH($C57,[1]Parametros!$A$16:$A$20,0)))*$K57,N('[1]ATS USA'!S57)))</f>
        <v>6</v>
      </c>
      <c r="U57" s="10">
        <f>IF(MIN(N(INDEX([1]Parametros!K$16:K$20,MATCH($C57,[1]Parametros!$A$16:$A$20,0)))*$K57,N('[1]ATS USA'!T57))&lt;=0,"",MIN(N(INDEX([1]Parametros!K$16:K$20,MATCH($C57,[1]Parametros!$A$16:$A$20,0)))*$K57,N('[1]ATS USA'!T57)))</f>
        <v>4</v>
      </c>
      <c r="V57" s="10">
        <f>IF(MIN(N(INDEX([1]Parametros!L$16:L$20,MATCH($C57,[1]Parametros!$A$16:$A$20,0)))*$K57,N('[1]ATS USA'!U57))&lt;=0,"",MIN(N(INDEX([1]Parametros!L$16:L$20,MATCH($C57,[1]Parametros!$A$16:$A$20,0)))*$K57,N('[1]ATS USA'!U57)))</f>
        <v>2</v>
      </c>
      <c r="W57" s="9">
        <f>IF(MIN(N(INDEX([1]Parametros!M$16:M$20,MATCH($C57,[1]Parametros!$A$16:$A$20,0)))*$K57,N('[1]ATS USA'!V57))&lt;=0,"",MIN(N(INDEX([1]Parametros!M$16:M$20,MATCH($C57,[1]Parametros!$A$16:$A$20,0)))*$K57,N('[1]ATS USA'!V57)))</f>
        <v>2</v>
      </c>
      <c r="X57" s="10" t="str">
        <f>IF(MIN(N(INDEX([1]Parametros!N$16:N$20,MATCH($C57,[1]Parametros!$A$16:$A$20,0)))*$K57,N('[1]ATS USA'!W57))&lt;=0,"",MIN(N(INDEX([1]Parametros!N$16:N$20,MATCH($C57,[1]Parametros!$A$16:$A$20,0)))*$K57,N('[1]ATS USA'!W57)))</f>
        <v/>
      </c>
      <c r="Y57" s="9" t="str">
        <f>IF(MIN(N(INDEX([1]Parametros!O$16:O$20,MATCH($C57,[1]Parametros!$A$16:$A$20,0)))*$K57,N('[1]ATS USA'!X57))&lt;=0,"",MIN(N(INDEX([1]Parametros!O$16:O$20,MATCH($C57,[1]Parametros!$A$16:$A$20,0)))*$K57,N('[1]ATS USA'!X57)))</f>
        <v/>
      </c>
      <c r="Z57" s="9" t="str">
        <f>IF(MIN(N(INDEX([1]Parametros!P$16:P$20,MATCH($C57,[1]Parametros!$A$16:$A$20,0)))*$K57,N('[1]ATS USA'!Y57))&lt;=0,"",MIN(N(INDEX([1]Parametros!P$16:P$20,MATCH($C57,[1]Parametros!$A$16:$A$20,0)))*$K57,N('[1]ATS USA'!Y57)))</f>
        <v/>
      </c>
      <c r="AA57" s="9" t="str">
        <f>IF(MIN(N(INDEX([1]Parametros!Q$16:Q$20,MATCH($C57,[1]Parametros!$A$16:$A$20,0)))*$K57,N('[1]ATS USA'!Z57))&lt;=0,"",MIN(N(INDEX([1]Parametros!Q$16:Q$20,MATCH($C57,[1]Parametros!$A$16:$A$20,0)))*$K57,N('[1]ATS USA'!Z57)))</f>
        <v/>
      </c>
      <c r="AB57" s="9" t="str">
        <f>IF(MIN(N(INDEX([1]Parametros!R$16:R$20,MATCH($C57,[1]Parametros!$A$16:$A$20,0)))*$K57,N('[1]ATS USA'!AA57))&lt;=0,"",MIN(N(INDEX([1]Parametros!R$16:R$20,MATCH($C57,[1]Parametros!$A$16:$A$20,0)))*$K57,N('[1]ATS USA'!AA57)))</f>
        <v/>
      </c>
      <c r="AC57" s="9" t="str">
        <f>IF(MIN(N(INDEX([1]Parametros!S$16:S$20,MATCH($C57,[1]Parametros!$A$16:$A$20,0)))*$K57,N('[1]ATS USA'!AB57))&lt;=0,"",MIN(N(INDEX([1]Parametros!S$16:S$20,MATCH($C57,[1]Parametros!$A$16:$A$20,0)))*$K57,N('[1]ATS USA'!AB57)))</f>
        <v/>
      </c>
      <c r="AD57" s="9" t="str">
        <f>IF(MIN(N(INDEX([1]Parametros!T$16:T$20,MATCH($C57,[1]Parametros!$A$16:$A$20,0)))*$K57,N('[1]ATS USA'!AC57))&lt;=0,"",MIN(N(INDEX([1]Parametros!T$16:T$20,MATCH($C57,[1]Parametros!$A$16:$A$20,0)))*$K57,N('[1]ATS USA'!AC57)))</f>
        <v/>
      </c>
      <c r="AE57" s="9" t="str">
        <f>IF(MIN(N(INDEX([1]Parametros!U$16:U$20,MATCH($C57,[1]Parametros!$A$16:$A$20,0)))*$K57,N('[1]ATS USA'!AD57))&lt;=0,"",MIN(N(INDEX([1]Parametros!U$16:U$20,MATCH($C57,[1]Parametros!$A$16:$A$20,0)))*$K57,N('[1]ATS USA'!AD57)))</f>
        <v/>
      </c>
      <c r="AF57" s="11">
        <f t="shared" si="5"/>
        <v>24</v>
      </c>
      <c r="AG57" s="12" t="str">
        <f t="shared" si="1"/>
        <v>OK</v>
      </c>
      <c r="AH57" s="6">
        <f t="shared" si="2"/>
        <v>768</v>
      </c>
      <c r="AI57" s="9">
        <f t="shared" si="3"/>
        <v>0</v>
      </c>
      <c r="AJ57" s="13">
        <f>IF(LEFT($A57,8)="Tránsito",IFERROR(_xlfn.XLOOKUP(--$E57,'[1]Reserva Territorios'!$C:$C,'[1]Reserva Territorios'!$J:$J),0),0)</f>
        <v>0</v>
      </c>
      <c r="AK57" s="13">
        <f t="shared" si="4"/>
        <v>24</v>
      </c>
    </row>
    <row r="58" spans="1:37" ht="48.95" customHeight="1" x14ac:dyDescent="0.25">
      <c r="A58" s="3" t="s">
        <v>37</v>
      </c>
      <c r="B58" s="4" t="s">
        <v>231</v>
      </c>
      <c r="C58" s="4" t="s">
        <v>232</v>
      </c>
      <c r="D58" s="4" t="s">
        <v>81</v>
      </c>
      <c r="E58" s="4" t="s">
        <v>233</v>
      </c>
      <c r="F58" s="4" t="s">
        <v>234</v>
      </c>
      <c r="G58" s="4" t="s">
        <v>235</v>
      </c>
      <c r="H58" s="5">
        <v>27</v>
      </c>
      <c r="I58" s="6">
        <v>80</v>
      </c>
      <c r="J58" s="7">
        <f>ROUND(I58*[1]Parametros!$B$10,-3)</f>
        <v>285000</v>
      </c>
      <c r="K58" s="8">
        <v>0</v>
      </c>
      <c r="L58" s="9" t="str">
        <f>IF(MIN(N(INDEX([1]Parametros!B$16:B$20,MATCH($C58,[1]Parametros!$A$16:$A$20,0)))*$K58,N('[1]ATS USA'!K58))&lt;=0,"",MIN(N(INDEX([1]Parametros!B$16:B$20,MATCH($C58,[1]Parametros!$A$16:$A$20,0)))*$K58,N('[1]ATS USA'!K58)))</f>
        <v/>
      </c>
      <c r="M58" s="9" t="str">
        <f>IF(MIN(N(INDEX([1]Parametros!C$16:C$20,MATCH($C58,[1]Parametros!$A$16:$A$20,0)))*$K58,N('[1]ATS USA'!L58))&lt;=0,"",MIN(N(INDEX([1]Parametros!C$16:C$20,MATCH($C58,[1]Parametros!$A$16:$A$20,0)))*$K58,N('[1]ATS USA'!L58)))</f>
        <v/>
      </c>
      <c r="N58" s="9" t="str">
        <f>IF(MIN(N(INDEX([1]Parametros!D$16:D$20,MATCH($C58,[1]Parametros!$A$16:$A$20,0)))*$K58,N('[1]ATS USA'!M58))&lt;=0,"",MIN(N(INDEX([1]Parametros!D$16:D$20,MATCH($C58,[1]Parametros!$A$16:$A$20,0)))*$K58,N('[1]ATS USA'!M58)))</f>
        <v/>
      </c>
      <c r="O58" s="9" t="str">
        <f>IF(MIN(N(INDEX([1]Parametros!E$16:E$20,MATCH($C58,[1]Parametros!$A$16:$A$20,0)))*$K58,N('[1]ATS USA'!N58))&lt;=0,"",MIN(N(INDEX([1]Parametros!E$16:E$20,MATCH($C58,[1]Parametros!$A$16:$A$20,0)))*$K58,N('[1]ATS USA'!N58)))</f>
        <v/>
      </c>
      <c r="P58" s="9" t="str">
        <f>IF(MIN(N(INDEX([1]Parametros!F$16:F$20,MATCH($C58,[1]Parametros!$A$16:$A$20,0)))*$K58,N('[1]ATS USA'!O58))&lt;=0,"",MIN(N(INDEX([1]Parametros!F$16:F$20,MATCH($C58,[1]Parametros!$A$16:$A$20,0)))*$K58,N('[1]ATS USA'!O58)))</f>
        <v/>
      </c>
      <c r="Q58" s="9" t="str">
        <f>IF(MIN(N(INDEX([1]Parametros!G$16:G$20,MATCH($C58,[1]Parametros!$A$16:$A$20,0)))*$K58,N('[1]ATS USA'!P58))&lt;=0,"",MIN(N(INDEX([1]Parametros!G$16:G$20,MATCH($C58,[1]Parametros!$A$16:$A$20,0)))*$K58,N('[1]ATS USA'!P58)))</f>
        <v/>
      </c>
      <c r="R58" s="9" t="str">
        <f>IF(MIN(N(INDEX([1]Parametros!H$16:H$20,MATCH($C58,[1]Parametros!$A$16:$A$20,0)))*$K58,N('[1]ATS USA'!Q58))&lt;=0,"",MIN(N(INDEX([1]Parametros!H$16:H$20,MATCH($C58,[1]Parametros!$A$16:$A$20,0)))*$K58,N('[1]ATS USA'!Q58)))</f>
        <v/>
      </c>
      <c r="S58" s="9" t="str">
        <f>IF(MIN(N(INDEX([1]Parametros!I$16:I$20,MATCH($C58,[1]Parametros!$A$16:$A$20,0)))*$K58,N('[1]ATS USA'!R58))&lt;=0,"",MIN(N(INDEX([1]Parametros!I$16:I$20,MATCH($C58,[1]Parametros!$A$16:$A$20,0)))*$K58,N('[1]ATS USA'!R58)))</f>
        <v/>
      </c>
      <c r="T58" s="9" t="str">
        <f>IF(MIN(N(INDEX([1]Parametros!J$16:J$20,MATCH($C58,[1]Parametros!$A$16:$A$20,0)))*$K58,N('[1]ATS USA'!S58))&lt;=0,"",MIN(N(INDEX([1]Parametros!J$16:J$20,MATCH($C58,[1]Parametros!$A$16:$A$20,0)))*$K58,N('[1]ATS USA'!S58)))</f>
        <v/>
      </c>
      <c r="U58" s="9" t="str">
        <f>IF(MIN(N(INDEX([1]Parametros!K$16:K$20,MATCH($C58,[1]Parametros!$A$16:$A$20,0)))*$K58,N('[1]ATS USA'!T58))&lt;=0,"",MIN(N(INDEX([1]Parametros!K$16:K$20,MATCH($C58,[1]Parametros!$A$16:$A$20,0)))*$K58,N('[1]ATS USA'!T58)))</f>
        <v/>
      </c>
      <c r="V58" s="10" t="str">
        <f>IF(MIN(N(INDEX([1]Parametros!L$16:L$20,MATCH($C58,[1]Parametros!$A$16:$A$20,0)))*$K58,N('[1]ATS USA'!U58))&lt;=0,"",MIN(N(INDEX([1]Parametros!L$16:L$20,MATCH($C58,[1]Parametros!$A$16:$A$20,0)))*$K58,N('[1]ATS USA'!U58)))</f>
        <v/>
      </c>
      <c r="W58" s="9" t="str">
        <f>IF(MIN(N(INDEX([1]Parametros!M$16:M$20,MATCH($C58,[1]Parametros!$A$16:$A$20,0)))*$K58,N('[1]ATS USA'!V58))&lt;=0,"",MIN(N(INDEX([1]Parametros!M$16:M$20,MATCH($C58,[1]Parametros!$A$16:$A$20,0)))*$K58,N('[1]ATS USA'!V58)))</f>
        <v/>
      </c>
      <c r="X58" s="10" t="str">
        <f>IF(MIN(N(INDEX([1]Parametros!N$16:N$20,MATCH($C58,[1]Parametros!$A$16:$A$20,0)))*$K58,N('[1]ATS USA'!W58))&lt;=0,"",MIN(N(INDEX([1]Parametros!N$16:N$20,MATCH($C58,[1]Parametros!$A$16:$A$20,0)))*$K58,N('[1]ATS USA'!W58)))</f>
        <v/>
      </c>
      <c r="Y58" s="9" t="str">
        <f>IF(MIN(N(INDEX([1]Parametros!O$16:O$20,MATCH($C58,[1]Parametros!$A$16:$A$20,0)))*$K58,N('[1]ATS USA'!X58))&lt;=0,"",MIN(N(INDEX([1]Parametros!O$16:O$20,MATCH($C58,[1]Parametros!$A$16:$A$20,0)))*$K58,N('[1]ATS USA'!X58)))</f>
        <v/>
      </c>
      <c r="Z58" s="10" t="str">
        <f>IF(MIN(N(INDEX([1]Parametros!P$16:P$20,MATCH($C58,[1]Parametros!$A$16:$A$20,0)))*$K58,N('[1]ATS USA'!Y58))&lt;=0,"",MIN(N(INDEX([1]Parametros!P$16:P$20,MATCH($C58,[1]Parametros!$A$16:$A$20,0)))*$K58,N('[1]ATS USA'!Y58)))</f>
        <v/>
      </c>
      <c r="AA58" s="9" t="str">
        <f>IF(MIN(N(INDEX([1]Parametros!Q$16:Q$20,MATCH($C58,[1]Parametros!$A$16:$A$20,0)))*$K58,N('[1]ATS USA'!Z58))&lt;=0,"",MIN(N(INDEX([1]Parametros!Q$16:Q$20,MATCH($C58,[1]Parametros!$A$16:$A$20,0)))*$K58,N('[1]ATS USA'!Z58)))</f>
        <v/>
      </c>
      <c r="AB58" s="10" t="str">
        <f>IF(MIN(N(INDEX([1]Parametros!R$16:R$20,MATCH($C58,[1]Parametros!$A$16:$A$20,0)))*$K58,N('[1]ATS USA'!AA58))&lt;=0,"",MIN(N(INDEX([1]Parametros!R$16:R$20,MATCH($C58,[1]Parametros!$A$16:$A$20,0)))*$K58,N('[1]ATS USA'!AA58)))</f>
        <v/>
      </c>
      <c r="AC58" s="9" t="str">
        <f>IF(MIN(N(INDEX([1]Parametros!S$16:S$20,MATCH($C58,[1]Parametros!$A$16:$A$20,0)))*$K58,N('[1]ATS USA'!AB58))&lt;=0,"",MIN(N(INDEX([1]Parametros!S$16:S$20,MATCH($C58,[1]Parametros!$A$16:$A$20,0)))*$K58,N('[1]ATS USA'!AB58)))</f>
        <v/>
      </c>
      <c r="AD58" s="10" t="str">
        <f>IF(MIN(N(INDEX([1]Parametros!T$16:T$20,MATCH($C58,[1]Parametros!$A$16:$A$20,0)))*$K58,N('[1]ATS USA'!AC58))&lt;=0,"",MIN(N(INDEX([1]Parametros!T$16:T$20,MATCH($C58,[1]Parametros!$A$16:$A$20,0)))*$K58,N('[1]ATS USA'!AC58)))</f>
        <v/>
      </c>
      <c r="AE58" s="10" t="str">
        <f>IF(MIN(N(INDEX([1]Parametros!U$16:U$20,MATCH($C58,[1]Parametros!$A$16:$A$20,0)))*$K58,N('[1]ATS USA'!AD58))&lt;=0,"",MIN(N(INDEX([1]Parametros!U$16:U$20,MATCH($C58,[1]Parametros!$A$16:$A$20,0)))*$K58,N('[1]ATS USA'!AD58)))</f>
        <v/>
      </c>
      <c r="AF58" s="11">
        <f t="shared" si="5"/>
        <v>0</v>
      </c>
      <c r="AG58" s="12" t="str">
        <f t="shared" si="1"/>
        <v>OK</v>
      </c>
      <c r="AH58" s="6">
        <f t="shared" si="2"/>
        <v>0</v>
      </c>
      <c r="AI58" s="9">
        <f t="shared" si="3"/>
        <v>0</v>
      </c>
      <c r="AJ58" s="13">
        <f>IF(LEFT($A58,8)="Tránsito",IFERROR(_xlfn.XLOOKUP(--$E58,'[1]Reserva Territorios'!$C:$C,'[1]Reserva Territorios'!$J:$J),0),0)</f>
        <v>0</v>
      </c>
      <c r="AK58" s="13">
        <f t="shared" si="4"/>
        <v>0</v>
      </c>
    </row>
    <row r="59" spans="1:37" ht="48.95" hidden="1" customHeight="1" x14ac:dyDescent="0.25">
      <c r="A59" s="3" t="s">
        <v>37</v>
      </c>
      <c r="B59" s="4" t="s">
        <v>231</v>
      </c>
      <c r="C59" s="4" t="s">
        <v>232</v>
      </c>
      <c r="D59" s="4" t="s">
        <v>236</v>
      </c>
      <c r="E59" s="4" t="s">
        <v>237</v>
      </c>
      <c r="F59" s="4" t="s">
        <v>238</v>
      </c>
      <c r="G59" s="4" t="s">
        <v>239</v>
      </c>
      <c r="H59" s="5">
        <v>17</v>
      </c>
      <c r="I59" s="6">
        <v>55</v>
      </c>
      <c r="J59" s="7">
        <f>ROUND(I59*[1]Parametros!$B$10,-3)</f>
        <v>196000</v>
      </c>
      <c r="K59" s="8">
        <v>0</v>
      </c>
      <c r="L59" s="9" t="str">
        <f>IF(MIN(N(INDEX([1]Parametros!B$16:B$20,MATCH($C59,[1]Parametros!$A$16:$A$20,0)))*$K59,N('[1]ATS USA'!K59))&lt;=0,"",MIN(N(INDEX([1]Parametros!B$16:B$20,MATCH($C59,[1]Parametros!$A$16:$A$20,0)))*$K59,N('[1]ATS USA'!K59)))</f>
        <v/>
      </c>
      <c r="M59" s="9" t="str">
        <f>IF(MIN(N(INDEX([1]Parametros!C$16:C$20,MATCH($C59,[1]Parametros!$A$16:$A$20,0)))*$K59,N('[1]ATS USA'!L59))&lt;=0,"",MIN(N(INDEX([1]Parametros!C$16:C$20,MATCH($C59,[1]Parametros!$A$16:$A$20,0)))*$K59,N('[1]ATS USA'!L59)))</f>
        <v/>
      </c>
      <c r="N59" s="9" t="str">
        <f>IF(MIN(N(INDEX([1]Parametros!D$16:D$20,MATCH($C59,[1]Parametros!$A$16:$A$20,0)))*$K59,N('[1]ATS USA'!M59))&lt;=0,"",MIN(N(INDEX([1]Parametros!D$16:D$20,MATCH($C59,[1]Parametros!$A$16:$A$20,0)))*$K59,N('[1]ATS USA'!M59)))</f>
        <v/>
      </c>
      <c r="O59" s="9" t="str">
        <f>IF(MIN(N(INDEX([1]Parametros!E$16:E$20,MATCH($C59,[1]Parametros!$A$16:$A$20,0)))*$K59,N('[1]ATS USA'!N59))&lt;=0,"",MIN(N(INDEX([1]Parametros!E$16:E$20,MATCH($C59,[1]Parametros!$A$16:$A$20,0)))*$K59,N('[1]ATS USA'!N59)))</f>
        <v/>
      </c>
      <c r="P59" s="9" t="str">
        <f>IF(MIN(N(INDEX([1]Parametros!F$16:F$20,MATCH($C59,[1]Parametros!$A$16:$A$20,0)))*$K59,N('[1]ATS USA'!O59))&lt;=0,"",MIN(N(INDEX([1]Parametros!F$16:F$20,MATCH($C59,[1]Parametros!$A$16:$A$20,0)))*$K59,N('[1]ATS USA'!O59)))</f>
        <v/>
      </c>
      <c r="Q59" s="9" t="str">
        <f>IF(MIN(N(INDEX([1]Parametros!G$16:G$20,MATCH($C59,[1]Parametros!$A$16:$A$20,0)))*$K59,N('[1]ATS USA'!P59))&lt;=0,"",MIN(N(INDEX([1]Parametros!G$16:G$20,MATCH($C59,[1]Parametros!$A$16:$A$20,0)))*$K59,N('[1]ATS USA'!P59)))</f>
        <v/>
      </c>
      <c r="R59" s="9" t="str">
        <f>IF(MIN(N(INDEX([1]Parametros!H$16:H$20,MATCH($C59,[1]Parametros!$A$16:$A$20,0)))*$K59,N('[1]ATS USA'!Q59))&lt;=0,"",MIN(N(INDEX([1]Parametros!H$16:H$20,MATCH($C59,[1]Parametros!$A$16:$A$20,0)))*$K59,N('[1]ATS USA'!Q59)))</f>
        <v/>
      </c>
      <c r="S59" s="9" t="str">
        <f>IF(MIN(N(INDEX([1]Parametros!I$16:I$20,MATCH($C59,[1]Parametros!$A$16:$A$20,0)))*$K59,N('[1]ATS USA'!R59))&lt;=0,"",MIN(N(INDEX([1]Parametros!I$16:I$20,MATCH($C59,[1]Parametros!$A$16:$A$20,0)))*$K59,N('[1]ATS USA'!R59)))</f>
        <v/>
      </c>
      <c r="T59" s="9" t="str">
        <f>IF(MIN(N(INDEX([1]Parametros!J$16:J$20,MATCH($C59,[1]Parametros!$A$16:$A$20,0)))*$K59,N('[1]ATS USA'!S59))&lt;=0,"",MIN(N(INDEX([1]Parametros!J$16:J$20,MATCH($C59,[1]Parametros!$A$16:$A$20,0)))*$K59,N('[1]ATS USA'!S59)))</f>
        <v/>
      </c>
      <c r="U59" s="9" t="str">
        <f>IF(MIN(N(INDEX([1]Parametros!K$16:K$20,MATCH($C59,[1]Parametros!$A$16:$A$20,0)))*$K59,N('[1]ATS USA'!T59))&lt;=0,"",MIN(N(INDEX([1]Parametros!K$16:K$20,MATCH($C59,[1]Parametros!$A$16:$A$20,0)))*$K59,N('[1]ATS USA'!T59)))</f>
        <v/>
      </c>
      <c r="V59" s="10" t="str">
        <f>IF(MIN(N(INDEX([1]Parametros!L$16:L$20,MATCH($C59,[1]Parametros!$A$16:$A$20,0)))*$K59,N('[1]ATS USA'!U59))&lt;=0,"",MIN(N(INDEX([1]Parametros!L$16:L$20,MATCH($C59,[1]Parametros!$A$16:$A$20,0)))*$K59,N('[1]ATS USA'!U59)))</f>
        <v/>
      </c>
      <c r="W59" s="9" t="str">
        <f>IF(MIN(N(INDEX([1]Parametros!M$16:M$20,MATCH($C59,[1]Parametros!$A$16:$A$20,0)))*$K59,N('[1]ATS USA'!V59))&lt;=0,"",MIN(N(INDEX([1]Parametros!M$16:M$20,MATCH($C59,[1]Parametros!$A$16:$A$20,0)))*$K59,N('[1]ATS USA'!V59)))</f>
        <v/>
      </c>
      <c r="X59" s="10" t="str">
        <f>IF(MIN(N(INDEX([1]Parametros!N$16:N$20,MATCH($C59,[1]Parametros!$A$16:$A$20,0)))*$K59,N('[1]ATS USA'!W59))&lt;=0,"",MIN(N(INDEX([1]Parametros!N$16:N$20,MATCH($C59,[1]Parametros!$A$16:$A$20,0)))*$K59,N('[1]ATS USA'!W59)))</f>
        <v/>
      </c>
      <c r="Y59" s="9" t="str">
        <f>IF(MIN(N(INDEX([1]Parametros!O$16:O$20,MATCH($C59,[1]Parametros!$A$16:$A$20,0)))*$K59,N('[1]ATS USA'!X59))&lt;=0,"",MIN(N(INDEX([1]Parametros!O$16:O$20,MATCH($C59,[1]Parametros!$A$16:$A$20,0)))*$K59,N('[1]ATS USA'!X59)))</f>
        <v/>
      </c>
      <c r="Z59" s="10" t="str">
        <f>IF(MIN(N(INDEX([1]Parametros!P$16:P$20,MATCH($C59,[1]Parametros!$A$16:$A$20,0)))*$K59,N('[1]ATS USA'!Y59))&lt;=0,"",MIN(N(INDEX([1]Parametros!P$16:P$20,MATCH($C59,[1]Parametros!$A$16:$A$20,0)))*$K59,N('[1]ATS USA'!Y59)))</f>
        <v/>
      </c>
      <c r="AA59" s="9" t="str">
        <f>IF(MIN(N(INDEX([1]Parametros!Q$16:Q$20,MATCH($C59,[1]Parametros!$A$16:$A$20,0)))*$K59,N('[1]ATS USA'!Z59))&lt;=0,"",MIN(N(INDEX([1]Parametros!Q$16:Q$20,MATCH($C59,[1]Parametros!$A$16:$A$20,0)))*$K59,N('[1]ATS USA'!Z59)))</f>
        <v/>
      </c>
      <c r="AB59" s="10" t="str">
        <f>IF(MIN(N(INDEX([1]Parametros!R$16:R$20,MATCH($C59,[1]Parametros!$A$16:$A$20,0)))*$K59,N('[1]ATS USA'!AA59))&lt;=0,"",MIN(N(INDEX([1]Parametros!R$16:R$20,MATCH($C59,[1]Parametros!$A$16:$A$20,0)))*$K59,N('[1]ATS USA'!AA59)))</f>
        <v/>
      </c>
      <c r="AC59" s="9" t="str">
        <f>IF(MIN(N(INDEX([1]Parametros!S$16:S$20,MATCH($C59,[1]Parametros!$A$16:$A$20,0)))*$K59,N('[1]ATS USA'!AB59))&lt;=0,"",MIN(N(INDEX([1]Parametros!S$16:S$20,MATCH($C59,[1]Parametros!$A$16:$A$20,0)))*$K59,N('[1]ATS USA'!AB59)))</f>
        <v/>
      </c>
      <c r="AD59" s="10" t="str">
        <f>IF(MIN(N(INDEX([1]Parametros!T$16:T$20,MATCH($C59,[1]Parametros!$A$16:$A$20,0)))*$K59,N('[1]ATS USA'!AC59))&lt;=0,"",MIN(N(INDEX([1]Parametros!T$16:T$20,MATCH($C59,[1]Parametros!$A$16:$A$20,0)))*$K59,N('[1]ATS USA'!AC59)))</f>
        <v/>
      </c>
      <c r="AE59" s="10" t="str">
        <f>IF(MIN(N(INDEX([1]Parametros!U$16:U$20,MATCH($C59,[1]Parametros!$A$16:$A$20,0)))*$K59,N('[1]ATS USA'!AD59))&lt;=0,"",MIN(N(INDEX([1]Parametros!U$16:U$20,MATCH($C59,[1]Parametros!$A$16:$A$20,0)))*$K59,N('[1]ATS USA'!AD59)))</f>
        <v/>
      </c>
      <c r="AF59" s="11">
        <f t="shared" si="5"/>
        <v>0</v>
      </c>
      <c r="AG59" s="12" t="str">
        <f t="shared" si="1"/>
        <v>OK</v>
      </c>
      <c r="AH59" s="6">
        <f t="shared" si="2"/>
        <v>0</v>
      </c>
      <c r="AI59" s="9">
        <f t="shared" si="3"/>
        <v>0</v>
      </c>
      <c r="AJ59" s="13">
        <f>IF(LEFT($A59,8)="Tránsito",IFERROR(_xlfn.XLOOKUP(--$E59,'[1]Reserva Territorios'!$C:$C,'[1]Reserva Territorios'!$J:$J),0),0)</f>
        <v>0</v>
      </c>
      <c r="AK59" s="13">
        <f t="shared" si="4"/>
        <v>0</v>
      </c>
    </row>
    <row r="60" spans="1:37" ht="48.95" hidden="1" customHeight="1" x14ac:dyDescent="0.25">
      <c r="A60" s="3" t="s">
        <v>37</v>
      </c>
      <c r="B60" s="4" t="s">
        <v>231</v>
      </c>
      <c r="C60" s="4" t="s">
        <v>232</v>
      </c>
      <c r="D60" s="4" t="s">
        <v>240</v>
      </c>
      <c r="E60" s="4" t="s">
        <v>241</v>
      </c>
      <c r="F60" s="4" t="s">
        <v>242</v>
      </c>
      <c r="G60" s="4" t="s">
        <v>243</v>
      </c>
      <c r="H60" s="5">
        <v>20</v>
      </c>
      <c r="I60" s="6">
        <v>62</v>
      </c>
      <c r="J60" s="7">
        <f>ROUND(I60*[1]Parametros!$B$10,-3)</f>
        <v>221000</v>
      </c>
      <c r="K60" s="8">
        <v>0</v>
      </c>
      <c r="L60" s="9" t="str">
        <f>IF(MIN(N(INDEX([1]Parametros!B$16:B$20,MATCH($C60,[1]Parametros!$A$16:$A$20,0)))*$K60,N('[1]ATS USA'!K60))&lt;=0,"",MIN(N(INDEX([1]Parametros!B$16:B$20,MATCH($C60,[1]Parametros!$A$16:$A$20,0)))*$K60,N('[1]ATS USA'!K60)))</f>
        <v/>
      </c>
      <c r="M60" s="9" t="str">
        <f>IF(MIN(N(INDEX([1]Parametros!C$16:C$20,MATCH($C60,[1]Parametros!$A$16:$A$20,0)))*$K60,N('[1]ATS USA'!L60))&lt;=0,"",MIN(N(INDEX([1]Parametros!C$16:C$20,MATCH($C60,[1]Parametros!$A$16:$A$20,0)))*$K60,N('[1]ATS USA'!L60)))</f>
        <v/>
      </c>
      <c r="N60" s="9" t="str">
        <f>IF(MIN(N(INDEX([1]Parametros!D$16:D$20,MATCH($C60,[1]Parametros!$A$16:$A$20,0)))*$K60,N('[1]ATS USA'!M60))&lt;=0,"",MIN(N(INDEX([1]Parametros!D$16:D$20,MATCH($C60,[1]Parametros!$A$16:$A$20,0)))*$K60,N('[1]ATS USA'!M60)))</f>
        <v/>
      </c>
      <c r="O60" s="9" t="str">
        <f>IF(MIN(N(INDEX([1]Parametros!E$16:E$20,MATCH($C60,[1]Parametros!$A$16:$A$20,0)))*$K60,N('[1]ATS USA'!N60))&lt;=0,"",MIN(N(INDEX([1]Parametros!E$16:E$20,MATCH($C60,[1]Parametros!$A$16:$A$20,0)))*$K60,N('[1]ATS USA'!N60)))</f>
        <v/>
      </c>
      <c r="P60" s="9" t="str">
        <f>IF(MIN(N(INDEX([1]Parametros!F$16:F$20,MATCH($C60,[1]Parametros!$A$16:$A$20,0)))*$K60,N('[1]ATS USA'!O60))&lt;=0,"",MIN(N(INDEX([1]Parametros!F$16:F$20,MATCH($C60,[1]Parametros!$A$16:$A$20,0)))*$K60,N('[1]ATS USA'!O60)))</f>
        <v/>
      </c>
      <c r="Q60" s="9" t="str">
        <f>IF(MIN(N(INDEX([1]Parametros!G$16:G$20,MATCH($C60,[1]Parametros!$A$16:$A$20,0)))*$K60,N('[1]ATS USA'!P60))&lt;=0,"",MIN(N(INDEX([1]Parametros!G$16:G$20,MATCH($C60,[1]Parametros!$A$16:$A$20,0)))*$K60,N('[1]ATS USA'!P60)))</f>
        <v/>
      </c>
      <c r="R60" s="9" t="str">
        <f>IF(MIN(N(INDEX([1]Parametros!H$16:H$20,MATCH($C60,[1]Parametros!$A$16:$A$20,0)))*$K60,N('[1]ATS USA'!Q60))&lt;=0,"",MIN(N(INDEX([1]Parametros!H$16:H$20,MATCH($C60,[1]Parametros!$A$16:$A$20,0)))*$K60,N('[1]ATS USA'!Q60)))</f>
        <v/>
      </c>
      <c r="S60" s="9" t="str">
        <f>IF(MIN(N(INDEX([1]Parametros!I$16:I$20,MATCH($C60,[1]Parametros!$A$16:$A$20,0)))*$K60,N('[1]ATS USA'!R60))&lt;=0,"",MIN(N(INDEX([1]Parametros!I$16:I$20,MATCH($C60,[1]Parametros!$A$16:$A$20,0)))*$K60,N('[1]ATS USA'!R60)))</f>
        <v/>
      </c>
      <c r="T60" s="9" t="str">
        <f>IF(MIN(N(INDEX([1]Parametros!J$16:J$20,MATCH($C60,[1]Parametros!$A$16:$A$20,0)))*$K60,N('[1]ATS USA'!S60))&lt;=0,"",MIN(N(INDEX([1]Parametros!J$16:J$20,MATCH($C60,[1]Parametros!$A$16:$A$20,0)))*$K60,N('[1]ATS USA'!S60)))</f>
        <v/>
      </c>
      <c r="U60" s="9" t="str">
        <f>IF(MIN(N(INDEX([1]Parametros!K$16:K$20,MATCH($C60,[1]Parametros!$A$16:$A$20,0)))*$K60,N('[1]ATS USA'!T60))&lt;=0,"",MIN(N(INDEX([1]Parametros!K$16:K$20,MATCH($C60,[1]Parametros!$A$16:$A$20,0)))*$K60,N('[1]ATS USA'!T60)))</f>
        <v/>
      </c>
      <c r="V60" s="10" t="str">
        <f>IF(MIN(N(INDEX([1]Parametros!L$16:L$20,MATCH($C60,[1]Parametros!$A$16:$A$20,0)))*$K60,N('[1]ATS USA'!U60))&lt;=0,"",MIN(N(INDEX([1]Parametros!L$16:L$20,MATCH($C60,[1]Parametros!$A$16:$A$20,0)))*$K60,N('[1]ATS USA'!U60)))</f>
        <v/>
      </c>
      <c r="W60" s="9" t="str">
        <f>IF(MIN(N(INDEX([1]Parametros!M$16:M$20,MATCH($C60,[1]Parametros!$A$16:$A$20,0)))*$K60,N('[1]ATS USA'!V60))&lt;=0,"",MIN(N(INDEX([1]Parametros!M$16:M$20,MATCH($C60,[1]Parametros!$A$16:$A$20,0)))*$K60,N('[1]ATS USA'!V60)))</f>
        <v/>
      </c>
      <c r="X60" s="10" t="str">
        <f>IF(MIN(N(INDEX([1]Parametros!N$16:N$20,MATCH($C60,[1]Parametros!$A$16:$A$20,0)))*$K60,N('[1]ATS USA'!W60))&lt;=0,"",MIN(N(INDEX([1]Parametros!N$16:N$20,MATCH($C60,[1]Parametros!$A$16:$A$20,0)))*$K60,N('[1]ATS USA'!W60)))</f>
        <v/>
      </c>
      <c r="Y60" s="9" t="str">
        <f>IF(MIN(N(INDEX([1]Parametros!O$16:O$20,MATCH($C60,[1]Parametros!$A$16:$A$20,0)))*$K60,N('[1]ATS USA'!X60))&lt;=0,"",MIN(N(INDEX([1]Parametros!O$16:O$20,MATCH($C60,[1]Parametros!$A$16:$A$20,0)))*$K60,N('[1]ATS USA'!X60)))</f>
        <v/>
      </c>
      <c r="Z60" s="10" t="str">
        <f>IF(MIN(N(INDEX([1]Parametros!P$16:P$20,MATCH($C60,[1]Parametros!$A$16:$A$20,0)))*$K60,N('[1]ATS USA'!Y60))&lt;=0,"",MIN(N(INDEX([1]Parametros!P$16:P$20,MATCH($C60,[1]Parametros!$A$16:$A$20,0)))*$K60,N('[1]ATS USA'!Y60)))</f>
        <v/>
      </c>
      <c r="AA60" s="9" t="str">
        <f>IF(MIN(N(INDEX([1]Parametros!Q$16:Q$20,MATCH($C60,[1]Parametros!$A$16:$A$20,0)))*$K60,N('[1]ATS USA'!Z60))&lt;=0,"",MIN(N(INDEX([1]Parametros!Q$16:Q$20,MATCH($C60,[1]Parametros!$A$16:$A$20,0)))*$K60,N('[1]ATS USA'!Z60)))</f>
        <v/>
      </c>
      <c r="AB60" s="10" t="str">
        <f>IF(MIN(N(INDEX([1]Parametros!R$16:R$20,MATCH($C60,[1]Parametros!$A$16:$A$20,0)))*$K60,N('[1]ATS USA'!AA60))&lt;=0,"",MIN(N(INDEX([1]Parametros!R$16:R$20,MATCH($C60,[1]Parametros!$A$16:$A$20,0)))*$K60,N('[1]ATS USA'!AA60)))</f>
        <v/>
      </c>
      <c r="AC60" s="9" t="str">
        <f>IF(MIN(N(INDEX([1]Parametros!S$16:S$20,MATCH($C60,[1]Parametros!$A$16:$A$20,0)))*$K60,N('[1]ATS USA'!AB60))&lt;=0,"",MIN(N(INDEX([1]Parametros!S$16:S$20,MATCH($C60,[1]Parametros!$A$16:$A$20,0)))*$K60,N('[1]ATS USA'!AB60)))</f>
        <v/>
      </c>
      <c r="AD60" s="10" t="str">
        <f>IF(MIN(N(INDEX([1]Parametros!T$16:T$20,MATCH($C60,[1]Parametros!$A$16:$A$20,0)))*$K60,N('[1]ATS USA'!AC60))&lt;=0,"",MIN(N(INDEX([1]Parametros!T$16:T$20,MATCH($C60,[1]Parametros!$A$16:$A$20,0)))*$K60,N('[1]ATS USA'!AC60)))</f>
        <v/>
      </c>
      <c r="AE60" s="10" t="str">
        <f>IF(MIN(N(INDEX([1]Parametros!U$16:U$20,MATCH($C60,[1]Parametros!$A$16:$A$20,0)))*$K60,N('[1]ATS USA'!AD60))&lt;=0,"",MIN(N(INDEX([1]Parametros!U$16:U$20,MATCH($C60,[1]Parametros!$A$16:$A$20,0)))*$K60,N('[1]ATS USA'!AD60)))</f>
        <v/>
      </c>
      <c r="AF60" s="11">
        <f t="shared" si="5"/>
        <v>0</v>
      </c>
      <c r="AG60" s="12" t="str">
        <f t="shared" si="1"/>
        <v>OK</v>
      </c>
      <c r="AH60" s="6">
        <f t="shared" si="2"/>
        <v>0</v>
      </c>
      <c r="AI60" s="9">
        <f t="shared" si="3"/>
        <v>0</v>
      </c>
      <c r="AJ60" s="13">
        <f>IF(LEFT($A60,8)="Tránsito",IFERROR(_xlfn.XLOOKUP(--$E60,'[1]Reserva Territorios'!$C:$C,'[1]Reserva Territorios'!$J:$J),0),0)</f>
        <v>0</v>
      </c>
      <c r="AK60" s="13">
        <f t="shared" si="4"/>
        <v>0</v>
      </c>
    </row>
    <row r="61" spans="1:37" ht="48.95" hidden="1" customHeight="1" x14ac:dyDescent="0.25">
      <c r="A61" s="3" t="s">
        <v>37</v>
      </c>
      <c r="B61" s="4" t="s">
        <v>231</v>
      </c>
      <c r="C61" s="4" t="s">
        <v>232</v>
      </c>
      <c r="D61" s="4" t="s">
        <v>240</v>
      </c>
      <c r="E61" s="4" t="s">
        <v>244</v>
      </c>
      <c r="F61" s="4" t="s">
        <v>245</v>
      </c>
      <c r="G61" s="4" t="s">
        <v>246</v>
      </c>
      <c r="H61" s="5">
        <v>20</v>
      </c>
      <c r="I61" s="6">
        <v>62</v>
      </c>
      <c r="J61" s="7">
        <f>ROUND(I61*[1]Parametros!$B$10,-3)</f>
        <v>221000</v>
      </c>
      <c r="K61" s="8">
        <v>0</v>
      </c>
      <c r="L61" s="9" t="str">
        <f>IF(MIN(N(INDEX([1]Parametros!B$16:B$20,MATCH($C61,[1]Parametros!$A$16:$A$20,0)))*$K61,N('[1]ATS USA'!K61))&lt;=0,"",MIN(N(INDEX([1]Parametros!B$16:B$20,MATCH($C61,[1]Parametros!$A$16:$A$20,0)))*$K61,N('[1]ATS USA'!K61)))</f>
        <v/>
      </c>
      <c r="M61" s="9" t="str">
        <f>IF(MIN(N(INDEX([1]Parametros!C$16:C$20,MATCH($C61,[1]Parametros!$A$16:$A$20,0)))*$K61,N('[1]ATS USA'!L61))&lt;=0,"",MIN(N(INDEX([1]Parametros!C$16:C$20,MATCH($C61,[1]Parametros!$A$16:$A$20,0)))*$K61,N('[1]ATS USA'!L61)))</f>
        <v/>
      </c>
      <c r="N61" s="9" t="str">
        <f>IF(MIN(N(INDEX([1]Parametros!D$16:D$20,MATCH($C61,[1]Parametros!$A$16:$A$20,0)))*$K61,N('[1]ATS USA'!M61))&lt;=0,"",MIN(N(INDEX([1]Parametros!D$16:D$20,MATCH($C61,[1]Parametros!$A$16:$A$20,0)))*$K61,N('[1]ATS USA'!M61)))</f>
        <v/>
      </c>
      <c r="O61" s="9" t="str">
        <f>IF(MIN(N(INDEX([1]Parametros!E$16:E$20,MATCH($C61,[1]Parametros!$A$16:$A$20,0)))*$K61,N('[1]ATS USA'!N61))&lt;=0,"",MIN(N(INDEX([1]Parametros!E$16:E$20,MATCH($C61,[1]Parametros!$A$16:$A$20,0)))*$K61,N('[1]ATS USA'!N61)))</f>
        <v/>
      </c>
      <c r="P61" s="9" t="str">
        <f>IF(MIN(N(INDEX([1]Parametros!F$16:F$20,MATCH($C61,[1]Parametros!$A$16:$A$20,0)))*$K61,N('[1]ATS USA'!O61))&lt;=0,"",MIN(N(INDEX([1]Parametros!F$16:F$20,MATCH($C61,[1]Parametros!$A$16:$A$20,0)))*$K61,N('[1]ATS USA'!O61)))</f>
        <v/>
      </c>
      <c r="Q61" s="9" t="str">
        <f>IF(MIN(N(INDEX([1]Parametros!G$16:G$20,MATCH($C61,[1]Parametros!$A$16:$A$20,0)))*$K61,N('[1]ATS USA'!P61))&lt;=0,"",MIN(N(INDEX([1]Parametros!G$16:G$20,MATCH($C61,[1]Parametros!$A$16:$A$20,0)))*$K61,N('[1]ATS USA'!P61)))</f>
        <v/>
      </c>
      <c r="R61" s="9" t="str">
        <f>IF(MIN(N(INDEX([1]Parametros!H$16:H$20,MATCH($C61,[1]Parametros!$A$16:$A$20,0)))*$K61,N('[1]ATS USA'!Q61))&lt;=0,"",MIN(N(INDEX([1]Parametros!H$16:H$20,MATCH($C61,[1]Parametros!$A$16:$A$20,0)))*$K61,N('[1]ATS USA'!Q61)))</f>
        <v/>
      </c>
      <c r="S61" s="9" t="str">
        <f>IF(MIN(N(INDEX([1]Parametros!I$16:I$20,MATCH($C61,[1]Parametros!$A$16:$A$20,0)))*$K61,N('[1]ATS USA'!R61))&lt;=0,"",MIN(N(INDEX([1]Parametros!I$16:I$20,MATCH($C61,[1]Parametros!$A$16:$A$20,0)))*$K61,N('[1]ATS USA'!R61)))</f>
        <v/>
      </c>
      <c r="T61" s="9" t="str">
        <f>IF(MIN(N(INDEX([1]Parametros!J$16:J$20,MATCH($C61,[1]Parametros!$A$16:$A$20,0)))*$K61,N('[1]ATS USA'!S61))&lt;=0,"",MIN(N(INDEX([1]Parametros!J$16:J$20,MATCH($C61,[1]Parametros!$A$16:$A$20,0)))*$K61,N('[1]ATS USA'!S61)))</f>
        <v/>
      </c>
      <c r="U61" s="9" t="str">
        <f>IF(MIN(N(INDEX([1]Parametros!K$16:K$20,MATCH($C61,[1]Parametros!$A$16:$A$20,0)))*$K61,N('[1]ATS USA'!T61))&lt;=0,"",MIN(N(INDEX([1]Parametros!K$16:K$20,MATCH($C61,[1]Parametros!$A$16:$A$20,0)))*$K61,N('[1]ATS USA'!T61)))</f>
        <v/>
      </c>
      <c r="V61" s="10" t="str">
        <f>IF(MIN(N(INDEX([1]Parametros!L$16:L$20,MATCH($C61,[1]Parametros!$A$16:$A$20,0)))*$K61,N('[1]ATS USA'!U61))&lt;=0,"",MIN(N(INDEX([1]Parametros!L$16:L$20,MATCH($C61,[1]Parametros!$A$16:$A$20,0)))*$K61,N('[1]ATS USA'!U61)))</f>
        <v/>
      </c>
      <c r="W61" s="9" t="str">
        <f>IF(MIN(N(INDEX([1]Parametros!M$16:M$20,MATCH($C61,[1]Parametros!$A$16:$A$20,0)))*$K61,N('[1]ATS USA'!V61))&lt;=0,"",MIN(N(INDEX([1]Parametros!M$16:M$20,MATCH($C61,[1]Parametros!$A$16:$A$20,0)))*$K61,N('[1]ATS USA'!V61)))</f>
        <v/>
      </c>
      <c r="X61" s="10" t="str">
        <f>IF(MIN(N(INDEX([1]Parametros!N$16:N$20,MATCH($C61,[1]Parametros!$A$16:$A$20,0)))*$K61,N('[1]ATS USA'!W61))&lt;=0,"",MIN(N(INDEX([1]Parametros!N$16:N$20,MATCH($C61,[1]Parametros!$A$16:$A$20,0)))*$K61,N('[1]ATS USA'!W61)))</f>
        <v/>
      </c>
      <c r="Y61" s="9" t="str">
        <f>IF(MIN(N(INDEX([1]Parametros!O$16:O$20,MATCH($C61,[1]Parametros!$A$16:$A$20,0)))*$K61,N('[1]ATS USA'!X61))&lt;=0,"",MIN(N(INDEX([1]Parametros!O$16:O$20,MATCH($C61,[1]Parametros!$A$16:$A$20,0)))*$K61,N('[1]ATS USA'!X61)))</f>
        <v/>
      </c>
      <c r="Z61" s="10" t="str">
        <f>IF(MIN(N(INDEX([1]Parametros!P$16:P$20,MATCH($C61,[1]Parametros!$A$16:$A$20,0)))*$K61,N('[1]ATS USA'!Y61))&lt;=0,"",MIN(N(INDEX([1]Parametros!P$16:P$20,MATCH($C61,[1]Parametros!$A$16:$A$20,0)))*$K61,N('[1]ATS USA'!Y61)))</f>
        <v/>
      </c>
      <c r="AA61" s="9" t="str">
        <f>IF(MIN(N(INDEX([1]Parametros!Q$16:Q$20,MATCH($C61,[1]Parametros!$A$16:$A$20,0)))*$K61,N('[1]ATS USA'!Z61))&lt;=0,"",MIN(N(INDEX([1]Parametros!Q$16:Q$20,MATCH($C61,[1]Parametros!$A$16:$A$20,0)))*$K61,N('[1]ATS USA'!Z61)))</f>
        <v/>
      </c>
      <c r="AB61" s="10" t="str">
        <f>IF(MIN(N(INDEX([1]Parametros!R$16:R$20,MATCH($C61,[1]Parametros!$A$16:$A$20,0)))*$K61,N('[1]ATS USA'!AA61))&lt;=0,"",MIN(N(INDEX([1]Parametros!R$16:R$20,MATCH($C61,[1]Parametros!$A$16:$A$20,0)))*$K61,N('[1]ATS USA'!AA61)))</f>
        <v/>
      </c>
      <c r="AC61" s="9" t="str">
        <f>IF(MIN(N(INDEX([1]Parametros!S$16:S$20,MATCH($C61,[1]Parametros!$A$16:$A$20,0)))*$K61,N('[1]ATS USA'!AB61))&lt;=0,"",MIN(N(INDEX([1]Parametros!S$16:S$20,MATCH($C61,[1]Parametros!$A$16:$A$20,0)))*$K61,N('[1]ATS USA'!AB61)))</f>
        <v/>
      </c>
      <c r="AD61" s="10" t="str">
        <f>IF(MIN(N(INDEX([1]Parametros!T$16:T$20,MATCH($C61,[1]Parametros!$A$16:$A$20,0)))*$K61,N('[1]ATS USA'!AC61))&lt;=0,"",MIN(N(INDEX([1]Parametros!T$16:T$20,MATCH($C61,[1]Parametros!$A$16:$A$20,0)))*$K61,N('[1]ATS USA'!AC61)))</f>
        <v/>
      </c>
      <c r="AE61" s="10" t="str">
        <f>IF(MIN(N(INDEX([1]Parametros!U$16:U$20,MATCH($C61,[1]Parametros!$A$16:$A$20,0)))*$K61,N('[1]ATS USA'!AD61))&lt;=0,"",MIN(N(INDEX([1]Parametros!U$16:U$20,MATCH($C61,[1]Parametros!$A$16:$A$20,0)))*$K61,N('[1]ATS USA'!AD61)))</f>
        <v/>
      </c>
      <c r="AF61" s="11">
        <f t="shared" si="5"/>
        <v>0</v>
      </c>
      <c r="AG61" s="12" t="str">
        <f t="shared" si="1"/>
        <v>OK</v>
      </c>
      <c r="AH61" s="6">
        <f t="shared" si="2"/>
        <v>0</v>
      </c>
      <c r="AI61" s="9">
        <f t="shared" si="3"/>
        <v>0</v>
      </c>
      <c r="AJ61" s="13">
        <f>IF(LEFT($A61,8)="Tránsito",IFERROR(_xlfn.XLOOKUP(--$E61,'[1]Reserva Territorios'!$C:$C,'[1]Reserva Territorios'!$J:$J),0),0)</f>
        <v>0</v>
      </c>
      <c r="AK61" s="13">
        <f t="shared" si="4"/>
        <v>0</v>
      </c>
    </row>
    <row r="62" spans="1:37" ht="48.95" customHeight="1" x14ac:dyDescent="0.25">
      <c r="A62" s="3" t="s">
        <v>37</v>
      </c>
      <c r="B62" s="4" t="s">
        <v>231</v>
      </c>
      <c r="C62" s="4" t="s">
        <v>232</v>
      </c>
      <c r="D62" s="4" t="s">
        <v>44</v>
      </c>
      <c r="E62" s="4" t="s">
        <v>247</v>
      </c>
      <c r="F62" s="4" t="s">
        <v>248</v>
      </c>
      <c r="G62" s="4" t="s">
        <v>249</v>
      </c>
      <c r="H62" s="5">
        <v>24</v>
      </c>
      <c r="I62" s="6">
        <v>75</v>
      </c>
      <c r="J62" s="7">
        <f>ROUND(I62*[1]Parametros!$B$10,-3)</f>
        <v>268000</v>
      </c>
      <c r="K62" s="8">
        <v>0</v>
      </c>
      <c r="L62" s="9" t="str">
        <f>IF(MIN(N(INDEX([1]Parametros!B$16:B$20,MATCH($C62,[1]Parametros!$A$16:$A$20,0)))*$K62,N('[1]ATS USA'!K62))&lt;=0,"",MIN(N(INDEX([1]Parametros!B$16:B$20,MATCH($C62,[1]Parametros!$A$16:$A$20,0)))*$K62,N('[1]ATS USA'!K62)))</f>
        <v/>
      </c>
      <c r="M62" s="9" t="str">
        <f>IF(MIN(N(INDEX([1]Parametros!C$16:C$20,MATCH($C62,[1]Parametros!$A$16:$A$20,0)))*$K62,N('[1]ATS USA'!L62))&lt;=0,"",MIN(N(INDEX([1]Parametros!C$16:C$20,MATCH($C62,[1]Parametros!$A$16:$A$20,0)))*$K62,N('[1]ATS USA'!L62)))</f>
        <v/>
      </c>
      <c r="N62" s="9" t="str">
        <f>IF(MIN(N(INDEX([1]Parametros!D$16:D$20,MATCH($C62,[1]Parametros!$A$16:$A$20,0)))*$K62,N('[1]ATS USA'!M62))&lt;=0,"",MIN(N(INDEX([1]Parametros!D$16:D$20,MATCH($C62,[1]Parametros!$A$16:$A$20,0)))*$K62,N('[1]ATS USA'!M62)))</f>
        <v/>
      </c>
      <c r="O62" s="9" t="str">
        <f>IF(MIN(N(INDEX([1]Parametros!E$16:E$20,MATCH($C62,[1]Parametros!$A$16:$A$20,0)))*$K62,N('[1]ATS USA'!N62))&lt;=0,"",MIN(N(INDEX([1]Parametros!E$16:E$20,MATCH($C62,[1]Parametros!$A$16:$A$20,0)))*$K62,N('[1]ATS USA'!N62)))</f>
        <v/>
      </c>
      <c r="P62" s="9" t="str">
        <f>IF(MIN(N(INDEX([1]Parametros!F$16:F$20,MATCH($C62,[1]Parametros!$A$16:$A$20,0)))*$K62,N('[1]ATS USA'!O62))&lt;=0,"",MIN(N(INDEX([1]Parametros!F$16:F$20,MATCH($C62,[1]Parametros!$A$16:$A$20,0)))*$K62,N('[1]ATS USA'!O62)))</f>
        <v/>
      </c>
      <c r="Q62" s="9" t="str">
        <f>IF(MIN(N(INDEX([1]Parametros!G$16:G$20,MATCH($C62,[1]Parametros!$A$16:$A$20,0)))*$K62,N('[1]ATS USA'!P62))&lt;=0,"",MIN(N(INDEX([1]Parametros!G$16:G$20,MATCH($C62,[1]Parametros!$A$16:$A$20,0)))*$K62,N('[1]ATS USA'!P62)))</f>
        <v/>
      </c>
      <c r="R62" s="9" t="str">
        <f>IF(MIN(N(INDEX([1]Parametros!H$16:H$20,MATCH($C62,[1]Parametros!$A$16:$A$20,0)))*$K62,N('[1]ATS USA'!Q62))&lt;=0,"",MIN(N(INDEX([1]Parametros!H$16:H$20,MATCH($C62,[1]Parametros!$A$16:$A$20,0)))*$K62,N('[1]ATS USA'!Q62)))</f>
        <v/>
      </c>
      <c r="S62" s="9" t="str">
        <f>IF(MIN(N(INDEX([1]Parametros!I$16:I$20,MATCH($C62,[1]Parametros!$A$16:$A$20,0)))*$K62,N('[1]ATS USA'!R62))&lt;=0,"",MIN(N(INDEX([1]Parametros!I$16:I$20,MATCH($C62,[1]Parametros!$A$16:$A$20,0)))*$K62,N('[1]ATS USA'!R62)))</f>
        <v/>
      </c>
      <c r="T62" s="9" t="str">
        <f>IF(MIN(N(INDEX([1]Parametros!J$16:J$20,MATCH($C62,[1]Parametros!$A$16:$A$20,0)))*$K62,N('[1]ATS USA'!S62))&lt;=0,"",MIN(N(INDEX([1]Parametros!J$16:J$20,MATCH($C62,[1]Parametros!$A$16:$A$20,0)))*$K62,N('[1]ATS USA'!S62)))</f>
        <v/>
      </c>
      <c r="U62" s="9" t="str">
        <f>IF(MIN(N(INDEX([1]Parametros!K$16:K$20,MATCH($C62,[1]Parametros!$A$16:$A$20,0)))*$K62,N('[1]ATS USA'!T62))&lt;=0,"",MIN(N(INDEX([1]Parametros!K$16:K$20,MATCH($C62,[1]Parametros!$A$16:$A$20,0)))*$K62,N('[1]ATS USA'!T62)))</f>
        <v/>
      </c>
      <c r="V62" s="10" t="str">
        <f>IF(MIN(N(INDEX([1]Parametros!L$16:L$20,MATCH($C62,[1]Parametros!$A$16:$A$20,0)))*$K62,N('[1]ATS USA'!U62))&lt;=0,"",MIN(N(INDEX([1]Parametros!L$16:L$20,MATCH($C62,[1]Parametros!$A$16:$A$20,0)))*$K62,N('[1]ATS USA'!U62)))</f>
        <v/>
      </c>
      <c r="W62" s="9" t="str">
        <f>IF(MIN(N(INDEX([1]Parametros!M$16:M$20,MATCH($C62,[1]Parametros!$A$16:$A$20,0)))*$K62,N('[1]ATS USA'!V62))&lt;=0,"",MIN(N(INDEX([1]Parametros!M$16:M$20,MATCH($C62,[1]Parametros!$A$16:$A$20,0)))*$K62,N('[1]ATS USA'!V62)))</f>
        <v/>
      </c>
      <c r="X62" s="10" t="str">
        <f>IF(MIN(N(INDEX([1]Parametros!N$16:N$20,MATCH($C62,[1]Parametros!$A$16:$A$20,0)))*$K62,N('[1]ATS USA'!W62))&lt;=0,"",MIN(N(INDEX([1]Parametros!N$16:N$20,MATCH($C62,[1]Parametros!$A$16:$A$20,0)))*$K62,N('[1]ATS USA'!W62)))</f>
        <v/>
      </c>
      <c r="Y62" s="9" t="str">
        <f>IF(MIN(N(INDEX([1]Parametros!O$16:O$20,MATCH($C62,[1]Parametros!$A$16:$A$20,0)))*$K62,N('[1]ATS USA'!X62))&lt;=0,"",MIN(N(INDEX([1]Parametros!O$16:O$20,MATCH($C62,[1]Parametros!$A$16:$A$20,0)))*$K62,N('[1]ATS USA'!X62)))</f>
        <v/>
      </c>
      <c r="Z62" s="10" t="str">
        <f>IF(MIN(N(INDEX([1]Parametros!P$16:P$20,MATCH($C62,[1]Parametros!$A$16:$A$20,0)))*$K62,N('[1]ATS USA'!Y62))&lt;=0,"",MIN(N(INDEX([1]Parametros!P$16:P$20,MATCH($C62,[1]Parametros!$A$16:$A$20,0)))*$K62,N('[1]ATS USA'!Y62)))</f>
        <v/>
      </c>
      <c r="AA62" s="9" t="str">
        <f>IF(MIN(N(INDEX([1]Parametros!Q$16:Q$20,MATCH($C62,[1]Parametros!$A$16:$A$20,0)))*$K62,N('[1]ATS USA'!Z62))&lt;=0,"",MIN(N(INDEX([1]Parametros!Q$16:Q$20,MATCH($C62,[1]Parametros!$A$16:$A$20,0)))*$K62,N('[1]ATS USA'!Z62)))</f>
        <v/>
      </c>
      <c r="AB62" s="10" t="str">
        <f>IF(MIN(N(INDEX([1]Parametros!R$16:R$20,MATCH($C62,[1]Parametros!$A$16:$A$20,0)))*$K62,N('[1]ATS USA'!AA62))&lt;=0,"",MIN(N(INDEX([1]Parametros!R$16:R$20,MATCH($C62,[1]Parametros!$A$16:$A$20,0)))*$K62,N('[1]ATS USA'!AA62)))</f>
        <v/>
      </c>
      <c r="AC62" s="9" t="str">
        <f>IF(MIN(N(INDEX([1]Parametros!S$16:S$20,MATCH($C62,[1]Parametros!$A$16:$A$20,0)))*$K62,N('[1]ATS USA'!AB62))&lt;=0,"",MIN(N(INDEX([1]Parametros!S$16:S$20,MATCH($C62,[1]Parametros!$A$16:$A$20,0)))*$K62,N('[1]ATS USA'!AB62)))</f>
        <v/>
      </c>
      <c r="AD62" s="10" t="str">
        <f>IF(MIN(N(INDEX([1]Parametros!T$16:T$20,MATCH($C62,[1]Parametros!$A$16:$A$20,0)))*$K62,N('[1]ATS USA'!AC62))&lt;=0,"",MIN(N(INDEX([1]Parametros!T$16:T$20,MATCH($C62,[1]Parametros!$A$16:$A$20,0)))*$K62,N('[1]ATS USA'!AC62)))</f>
        <v/>
      </c>
      <c r="AE62" s="10" t="str">
        <f>IF(MIN(N(INDEX([1]Parametros!U$16:U$20,MATCH($C62,[1]Parametros!$A$16:$A$20,0)))*$K62,N('[1]ATS USA'!AD62))&lt;=0,"",MIN(N(INDEX([1]Parametros!U$16:U$20,MATCH($C62,[1]Parametros!$A$16:$A$20,0)))*$K62,N('[1]ATS USA'!AD62)))</f>
        <v/>
      </c>
      <c r="AF62" s="11">
        <f t="shared" si="5"/>
        <v>0</v>
      </c>
      <c r="AG62" s="12" t="str">
        <f t="shared" si="1"/>
        <v>OK</v>
      </c>
      <c r="AH62" s="6">
        <f t="shared" si="2"/>
        <v>0</v>
      </c>
      <c r="AI62" s="9">
        <f t="shared" si="3"/>
        <v>0</v>
      </c>
      <c r="AJ62" s="13">
        <f>IF(LEFT($A62,8)="Tránsito",IFERROR(_xlfn.XLOOKUP(--$E62,'[1]Reserva Territorios'!$C:$C,'[1]Reserva Territorios'!$J:$J),0),0)</f>
        <v>0</v>
      </c>
      <c r="AK62" s="13">
        <f t="shared" si="4"/>
        <v>0</v>
      </c>
    </row>
    <row r="63" spans="1:37" ht="48.95" customHeight="1" x14ac:dyDescent="0.25">
      <c r="A63" s="3" t="s">
        <v>37</v>
      </c>
      <c r="B63" s="4" t="s">
        <v>231</v>
      </c>
      <c r="C63" s="4" t="s">
        <v>232</v>
      </c>
      <c r="D63" s="4" t="s">
        <v>44</v>
      </c>
      <c r="E63" s="4" t="s">
        <v>250</v>
      </c>
      <c r="F63" s="4" t="s">
        <v>251</v>
      </c>
      <c r="G63" s="4" t="s">
        <v>252</v>
      </c>
      <c r="H63" s="5">
        <v>24</v>
      </c>
      <c r="I63" s="6">
        <v>75</v>
      </c>
      <c r="J63" s="7">
        <f>ROUND(I63*[1]Parametros!$B$10,-3)</f>
        <v>268000</v>
      </c>
      <c r="K63" s="8">
        <v>0</v>
      </c>
      <c r="L63" s="9" t="str">
        <f>IF(MIN(N(INDEX([1]Parametros!B$16:B$20,MATCH($C63,[1]Parametros!$A$16:$A$20,0)))*$K63,N('[1]ATS USA'!K63))&lt;=0,"",MIN(N(INDEX([1]Parametros!B$16:B$20,MATCH($C63,[1]Parametros!$A$16:$A$20,0)))*$K63,N('[1]ATS USA'!K63)))</f>
        <v/>
      </c>
      <c r="M63" s="9" t="str">
        <f>IF(MIN(N(INDEX([1]Parametros!C$16:C$20,MATCH($C63,[1]Parametros!$A$16:$A$20,0)))*$K63,N('[1]ATS USA'!L63))&lt;=0,"",MIN(N(INDEX([1]Parametros!C$16:C$20,MATCH($C63,[1]Parametros!$A$16:$A$20,0)))*$K63,N('[1]ATS USA'!L63)))</f>
        <v/>
      </c>
      <c r="N63" s="9" t="str">
        <f>IF(MIN(N(INDEX([1]Parametros!D$16:D$20,MATCH($C63,[1]Parametros!$A$16:$A$20,0)))*$K63,N('[1]ATS USA'!M63))&lt;=0,"",MIN(N(INDEX([1]Parametros!D$16:D$20,MATCH($C63,[1]Parametros!$A$16:$A$20,0)))*$K63,N('[1]ATS USA'!M63)))</f>
        <v/>
      </c>
      <c r="O63" s="9" t="str">
        <f>IF(MIN(N(INDEX([1]Parametros!E$16:E$20,MATCH($C63,[1]Parametros!$A$16:$A$20,0)))*$K63,N('[1]ATS USA'!N63))&lt;=0,"",MIN(N(INDEX([1]Parametros!E$16:E$20,MATCH($C63,[1]Parametros!$A$16:$A$20,0)))*$K63,N('[1]ATS USA'!N63)))</f>
        <v/>
      </c>
      <c r="P63" s="9" t="str">
        <f>IF(MIN(N(INDEX([1]Parametros!F$16:F$20,MATCH($C63,[1]Parametros!$A$16:$A$20,0)))*$K63,N('[1]ATS USA'!O63))&lt;=0,"",MIN(N(INDEX([1]Parametros!F$16:F$20,MATCH($C63,[1]Parametros!$A$16:$A$20,0)))*$K63,N('[1]ATS USA'!O63)))</f>
        <v/>
      </c>
      <c r="Q63" s="9" t="str">
        <f>IF(MIN(N(INDEX([1]Parametros!G$16:G$20,MATCH($C63,[1]Parametros!$A$16:$A$20,0)))*$K63,N('[1]ATS USA'!P63))&lt;=0,"",MIN(N(INDEX([1]Parametros!G$16:G$20,MATCH($C63,[1]Parametros!$A$16:$A$20,0)))*$K63,N('[1]ATS USA'!P63)))</f>
        <v/>
      </c>
      <c r="R63" s="9" t="str">
        <f>IF(MIN(N(INDEX([1]Parametros!H$16:H$20,MATCH($C63,[1]Parametros!$A$16:$A$20,0)))*$K63,N('[1]ATS USA'!Q63))&lt;=0,"",MIN(N(INDEX([1]Parametros!H$16:H$20,MATCH($C63,[1]Parametros!$A$16:$A$20,0)))*$K63,N('[1]ATS USA'!Q63)))</f>
        <v/>
      </c>
      <c r="S63" s="9" t="str">
        <f>IF(MIN(N(INDEX([1]Parametros!I$16:I$20,MATCH($C63,[1]Parametros!$A$16:$A$20,0)))*$K63,N('[1]ATS USA'!R63))&lt;=0,"",MIN(N(INDEX([1]Parametros!I$16:I$20,MATCH($C63,[1]Parametros!$A$16:$A$20,0)))*$K63,N('[1]ATS USA'!R63)))</f>
        <v/>
      </c>
      <c r="T63" s="9" t="str">
        <f>IF(MIN(N(INDEX([1]Parametros!J$16:J$20,MATCH($C63,[1]Parametros!$A$16:$A$20,0)))*$K63,N('[1]ATS USA'!S63))&lt;=0,"",MIN(N(INDEX([1]Parametros!J$16:J$20,MATCH($C63,[1]Parametros!$A$16:$A$20,0)))*$K63,N('[1]ATS USA'!S63)))</f>
        <v/>
      </c>
      <c r="U63" s="9" t="str">
        <f>IF(MIN(N(INDEX([1]Parametros!K$16:K$20,MATCH($C63,[1]Parametros!$A$16:$A$20,0)))*$K63,N('[1]ATS USA'!T63))&lt;=0,"",MIN(N(INDEX([1]Parametros!K$16:K$20,MATCH($C63,[1]Parametros!$A$16:$A$20,0)))*$K63,N('[1]ATS USA'!T63)))</f>
        <v/>
      </c>
      <c r="V63" s="10" t="str">
        <f>IF(MIN(N(INDEX([1]Parametros!L$16:L$20,MATCH($C63,[1]Parametros!$A$16:$A$20,0)))*$K63,N('[1]ATS USA'!U63))&lt;=0,"",MIN(N(INDEX([1]Parametros!L$16:L$20,MATCH($C63,[1]Parametros!$A$16:$A$20,0)))*$K63,N('[1]ATS USA'!U63)))</f>
        <v/>
      </c>
      <c r="W63" s="9" t="str">
        <f>IF(MIN(N(INDEX([1]Parametros!M$16:M$20,MATCH($C63,[1]Parametros!$A$16:$A$20,0)))*$K63,N('[1]ATS USA'!V63))&lt;=0,"",MIN(N(INDEX([1]Parametros!M$16:M$20,MATCH($C63,[1]Parametros!$A$16:$A$20,0)))*$K63,N('[1]ATS USA'!V63)))</f>
        <v/>
      </c>
      <c r="X63" s="10" t="str">
        <f>IF(MIN(N(INDEX([1]Parametros!N$16:N$20,MATCH($C63,[1]Parametros!$A$16:$A$20,0)))*$K63,N('[1]ATS USA'!W63))&lt;=0,"",MIN(N(INDEX([1]Parametros!N$16:N$20,MATCH($C63,[1]Parametros!$A$16:$A$20,0)))*$K63,N('[1]ATS USA'!W63)))</f>
        <v/>
      </c>
      <c r="Y63" s="9" t="str">
        <f>IF(MIN(N(INDEX([1]Parametros!O$16:O$20,MATCH($C63,[1]Parametros!$A$16:$A$20,0)))*$K63,N('[1]ATS USA'!X63))&lt;=0,"",MIN(N(INDEX([1]Parametros!O$16:O$20,MATCH($C63,[1]Parametros!$A$16:$A$20,0)))*$K63,N('[1]ATS USA'!X63)))</f>
        <v/>
      </c>
      <c r="Z63" s="10" t="str">
        <f>IF(MIN(N(INDEX([1]Parametros!P$16:P$20,MATCH($C63,[1]Parametros!$A$16:$A$20,0)))*$K63,N('[1]ATS USA'!Y63))&lt;=0,"",MIN(N(INDEX([1]Parametros!P$16:P$20,MATCH($C63,[1]Parametros!$A$16:$A$20,0)))*$K63,N('[1]ATS USA'!Y63)))</f>
        <v/>
      </c>
      <c r="AA63" s="9" t="str">
        <f>IF(MIN(N(INDEX([1]Parametros!Q$16:Q$20,MATCH($C63,[1]Parametros!$A$16:$A$20,0)))*$K63,N('[1]ATS USA'!Z63))&lt;=0,"",MIN(N(INDEX([1]Parametros!Q$16:Q$20,MATCH($C63,[1]Parametros!$A$16:$A$20,0)))*$K63,N('[1]ATS USA'!Z63)))</f>
        <v/>
      </c>
      <c r="AB63" s="10" t="str">
        <f>IF(MIN(N(INDEX([1]Parametros!R$16:R$20,MATCH($C63,[1]Parametros!$A$16:$A$20,0)))*$K63,N('[1]ATS USA'!AA63))&lt;=0,"",MIN(N(INDEX([1]Parametros!R$16:R$20,MATCH($C63,[1]Parametros!$A$16:$A$20,0)))*$K63,N('[1]ATS USA'!AA63)))</f>
        <v/>
      </c>
      <c r="AC63" s="9" t="str">
        <f>IF(MIN(N(INDEX([1]Parametros!S$16:S$20,MATCH($C63,[1]Parametros!$A$16:$A$20,0)))*$K63,N('[1]ATS USA'!AB63))&lt;=0,"",MIN(N(INDEX([1]Parametros!S$16:S$20,MATCH($C63,[1]Parametros!$A$16:$A$20,0)))*$K63,N('[1]ATS USA'!AB63)))</f>
        <v/>
      </c>
      <c r="AD63" s="10" t="str">
        <f>IF(MIN(N(INDEX([1]Parametros!T$16:T$20,MATCH($C63,[1]Parametros!$A$16:$A$20,0)))*$K63,N('[1]ATS USA'!AC63))&lt;=0,"",MIN(N(INDEX([1]Parametros!T$16:T$20,MATCH($C63,[1]Parametros!$A$16:$A$20,0)))*$K63,N('[1]ATS USA'!AC63)))</f>
        <v/>
      </c>
      <c r="AE63" s="10" t="str">
        <f>IF(MIN(N(INDEX([1]Parametros!U$16:U$20,MATCH($C63,[1]Parametros!$A$16:$A$20,0)))*$K63,N('[1]ATS USA'!AD63))&lt;=0,"",MIN(N(INDEX([1]Parametros!U$16:U$20,MATCH($C63,[1]Parametros!$A$16:$A$20,0)))*$K63,N('[1]ATS USA'!AD63)))</f>
        <v/>
      </c>
      <c r="AF63" s="11">
        <f t="shared" si="5"/>
        <v>0</v>
      </c>
      <c r="AG63" s="12" t="str">
        <f t="shared" si="1"/>
        <v>OK</v>
      </c>
      <c r="AH63" s="6">
        <f t="shared" si="2"/>
        <v>0</v>
      </c>
      <c r="AI63" s="9">
        <f t="shared" si="3"/>
        <v>0</v>
      </c>
      <c r="AJ63" s="13">
        <f>IF(LEFT($A63,8)="Tránsito",IFERROR(_xlfn.XLOOKUP(--$E63,'[1]Reserva Territorios'!$C:$C,'[1]Reserva Territorios'!$J:$J),0),0)</f>
        <v>0</v>
      </c>
      <c r="AK63" s="13">
        <f t="shared" si="4"/>
        <v>0</v>
      </c>
    </row>
    <row r="64" spans="1:37" ht="48.95" customHeight="1" x14ac:dyDescent="0.25">
      <c r="A64" s="3" t="s">
        <v>37</v>
      </c>
      <c r="B64" s="4" t="s">
        <v>231</v>
      </c>
      <c r="C64" s="4" t="s">
        <v>232</v>
      </c>
      <c r="D64" s="4" t="s">
        <v>253</v>
      </c>
      <c r="E64" s="4" t="s">
        <v>254</v>
      </c>
      <c r="F64" s="4" t="s">
        <v>255</v>
      </c>
      <c r="G64" s="4" t="s">
        <v>256</v>
      </c>
      <c r="H64" s="5">
        <v>21.75</v>
      </c>
      <c r="I64" s="6">
        <v>70</v>
      </c>
      <c r="J64" s="7">
        <f>ROUND(I64*[1]Parametros!$B$10,-3)</f>
        <v>250000</v>
      </c>
      <c r="K64" s="8">
        <v>0</v>
      </c>
      <c r="L64" s="9" t="str">
        <f>IF(MIN(N(INDEX([1]Parametros!B$16:B$20,MATCH($C64,[1]Parametros!$A$16:$A$20,0)))*$K64,N('[1]ATS USA'!K64))&lt;=0,"",MIN(N(INDEX([1]Parametros!B$16:B$20,MATCH($C64,[1]Parametros!$A$16:$A$20,0)))*$K64,N('[1]ATS USA'!K64)))</f>
        <v/>
      </c>
      <c r="M64" s="9" t="str">
        <f>IF(MIN(N(INDEX([1]Parametros!C$16:C$20,MATCH($C64,[1]Parametros!$A$16:$A$20,0)))*$K64,N('[1]ATS USA'!L64))&lt;=0,"",MIN(N(INDEX([1]Parametros!C$16:C$20,MATCH($C64,[1]Parametros!$A$16:$A$20,0)))*$K64,N('[1]ATS USA'!L64)))</f>
        <v/>
      </c>
      <c r="N64" s="9" t="str">
        <f>IF(MIN(N(INDEX([1]Parametros!D$16:D$20,MATCH($C64,[1]Parametros!$A$16:$A$20,0)))*$K64,N('[1]ATS USA'!M64))&lt;=0,"",MIN(N(INDEX([1]Parametros!D$16:D$20,MATCH($C64,[1]Parametros!$A$16:$A$20,0)))*$K64,N('[1]ATS USA'!M64)))</f>
        <v/>
      </c>
      <c r="O64" s="9" t="str">
        <f>IF(MIN(N(INDEX([1]Parametros!E$16:E$20,MATCH($C64,[1]Parametros!$A$16:$A$20,0)))*$K64,N('[1]ATS USA'!N64))&lt;=0,"",MIN(N(INDEX([1]Parametros!E$16:E$20,MATCH($C64,[1]Parametros!$A$16:$A$20,0)))*$K64,N('[1]ATS USA'!N64)))</f>
        <v/>
      </c>
      <c r="P64" s="9" t="str">
        <f>IF(MIN(N(INDEX([1]Parametros!F$16:F$20,MATCH($C64,[1]Parametros!$A$16:$A$20,0)))*$K64,N('[1]ATS USA'!O64))&lt;=0,"",MIN(N(INDEX([1]Parametros!F$16:F$20,MATCH($C64,[1]Parametros!$A$16:$A$20,0)))*$K64,N('[1]ATS USA'!O64)))</f>
        <v/>
      </c>
      <c r="Q64" s="9" t="str">
        <f>IF(MIN(N(INDEX([1]Parametros!G$16:G$20,MATCH($C64,[1]Parametros!$A$16:$A$20,0)))*$K64,N('[1]ATS USA'!P64))&lt;=0,"",MIN(N(INDEX([1]Parametros!G$16:G$20,MATCH($C64,[1]Parametros!$A$16:$A$20,0)))*$K64,N('[1]ATS USA'!P64)))</f>
        <v/>
      </c>
      <c r="R64" s="9" t="str">
        <f>IF(MIN(N(INDEX([1]Parametros!H$16:H$20,MATCH($C64,[1]Parametros!$A$16:$A$20,0)))*$K64,N('[1]ATS USA'!Q64))&lt;=0,"",MIN(N(INDEX([1]Parametros!H$16:H$20,MATCH($C64,[1]Parametros!$A$16:$A$20,0)))*$K64,N('[1]ATS USA'!Q64)))</f>
        <v/>
      </c>
      <c r="S64" s="9" t="str">
        <f>IF(MIN(N(INDEX([1]Parametros!I$16:I$20,MATCH($C64,[1]Parametros!$A$16:$A$20,0)))*$K64,N('[1]ATS USA'!R64))&lt;=0,"",MIN(N(INDEX([1]Parametros!I$16:I$20,MATCH($C64,[1]Parametros!$A$16:$A$20,0)))*$K64,N('[1]ATS USA'!R64)))</f>
        <v/>
      </c>
      <c r="T64" s="9" t="str">
        <f>IF(MIN(N(INDEX([1]Parametros!J$16:J$20,MATCH($C64,[1]Parametros!$A$16:$A$20,0)))*$K64,N('[1]ATS USA'!S64))&lt;=0,"",MIN(N(INDEX([1]Parametros!J$16:J$20,MATCH($C64,[1]Parametros!$A$16:$A$20,0)))*$K64,N('[1]ATS USA'!S64)))</f>
        <v/>
      </c>
      <c r="U64" s="9" t="str">
        <f>IF(MIN(N(INDEX([1]Parametros!K$16:K$20,MATCH($C64,[1]Parametros!$A$16:$A$20,0)))*$K64,N('[1]ATS USA'!T64))&lt;=0,"",MIN(N(INDEX([1]Parametros!K$16:K$20,MATCH($C64,[1]Parametros!$A$16:$A$20,0)))*$K64,N('[1]ATS USA'!T64)))</f>
        <v/>
      </c>
      <c r="V64" s="10" t="str">
        <f>IF(MIN(N(INDEX([1]Parametros!L$16:L$20,MATCH($C64,[1]Parametros!$A$16:$A$20,0)))*$K64,N('[1]ATS USA'!U64))&lt;=0,"",MIN(N(INDEX([1]Parametros!L$16:L$20,MATCH($C64,[1]Parametros!$A$16:$A$20,0)))*$K64,N('[1]ATS USA'!U64)))</f>
        <v/>
      </c>
      <c r="W64" s="9" t="str">
        <f>IF(MIN(N(INDEX([1]Parametros!M$16:M$20,MATCH($C64,[1]Parametros!$A$16:$A$20,0)))*$K64,N('[1]ATS USA'!V64))&lt;=0,"",MIN(N(INDEX([1]Parametros!M$16:M$20,MATCH($C64,[1]Parametros!$A$16:$A$20,0)))*$K64,N('[1]ATS USA'!V64)))</f>
        <v/>
      </c>
      <c r="X64" s="10" t="str">
        <f>IF(MIN(N(INDEX([1]Parametros!N$16:N$20,MATCH($C64,[1]Parametros!$A$16:$A$20,0)))*$K64,N('[1]ATS USA'!W64))&lt;=0,"",MIN(N(INDEX([1]Parametros!N$16:N$20,MATCH($C64,[1]Parametros!$A$16:$A$20,0)))*$K64,N('[1]ATS USA'!W64)))</f>
        <v/>
      </c>
      <c r="Y64" s="9" t="str">
        <f>IF(MIN(N(INDEX([1]Parametros!O$16:O$20,MATCH($C64,[1]Parametros!$A$16:$A$20,0)))*$K64,N('[1]ATS USA'!X64))&lt;=0,"",MIN(N(INDEX([1]Parametros!O$16:O$20,MATCH($C64,[1]Parametros!$A$16:$A$20,0)))*$K64,N('[1]ATS USA'!X64)))</f>
        <v/>
      </c>
      <c r="Z64" s="10" t="str">
        <f>IF(MIN(N(INDEX([1]Parametros!P$16:P$20,MATCH($C64,[1]Parametros!$A$16:$A$20,0)))*$K64,N('[1]ATS USA'!Y64))&lt;=0,"",MIN(N(INDEX([1]Parametros!P$16:P$20,MATCH($C64,[1]Parametros!$A$16:$A$20,0)))*$K64,N('[1]ATS USA'!Y64)))</f>
        <v/>
      </c>
      <c r="AA64" s="9" t="str">
        <f>IF(MIN(N(INDEX([1]Parametros!Q$16:Q$20,MATCH($C64,[1]Parametros!$A$16:$A$20,0)))*$K64,N('[1]ATS USA'!Z64))&lt;=0,"",MIN(N(INDEX([1]Parametros!Q$16:Q$20,MATCH($C64,[1]Parametros!$A$16:$A$20,0)))*$K64,N('[1]ATS USA'!Z64)))</f>
        <v/>
      </c>
      <c r="AB64" s="10" t="str">
        <f>IF(MIN(N(INDEX([1]Parametros!R$16:R$20,MATCH($C64,[1]Parametros!$A$16:$A$20,0)))*$K64,N('[1]ATS USA'!AA64))&lt;=0,"",MIN(N(INDEX([1]Parametros!R$16:R$20,MATCH($C64,[1]Parametros!$A$16:$A$20,0)))*$K64,N('[1]ATS USA'!AA64)))</f>
        <v/>
      </c>
      <c r="AC64" s="9" t="str">
        <f>IF(MIN(N(INDEX([1]Parametros!S$16:S$20,MATCH($C64,[1]Parametros!$A$16:$A$20,0)))*$K64,N('[1]ATS USA'!AB64))&lt;=0,"",MIN(N(INDEX([1]Parametros!S$16:S$20,MATCH($C64,[1]Parametros!$A$16:$A$20,0)))*$K64,N('[1]ATS USA'!AB64)))</f>
        <v/>
      </c>
      <c r="AD64" s="10" t="str">
        <f>IF(MIN(N(INDEX([1]Parametros!T$16:T$20,MATCH($C64,[1]Parametros!$A$16:$A$20,0)))*$K64,N('[1]ATS USA'!AC64))&lt;=0,"",MIN(N(INDEX([1]Parametros!T$16:T$20,MATCH($C64,[1]Parametros!$A$16:$A$20,0)))*$K64,N('[1]ATS USA'!AC64)))</f>
        <v/>
      </c>
      <c r="AE64" s="10" t="str">
        <f>IF(MIN(N(INDEX([1]Parametros!U$16:U$20,MATCH($C64,[1]Parametros!$A$16:$A$20,0)))*$K64,N('[1]ATS USA'!AD64))&lt;=0,"",MIN(N(INDEX([1]Parametros!U$16:U$20,MATCH($C64,[1]Parametros!$A$16:$A$20,0)))*$K64,N('[1]ATS USA'!AD64)))</f>
        <v/>
      </c>
      <c r="AF64" s="11">
        <f t="shared" si="5"/>
        <v>0</v>
      </c>
      <c r="AG64" s="12" t="str">
        <f t="shared" si="1"/>
        <v>OK</v>
      </c>
      <c r="AH64" s="6">
        <f t="shared" si="2"/>
        <v>0</v>
      </c>
      <c r="AI64" s="9">
        <f t="shared" si="3"/>
        <v>0</v>
      </c>
      <c r="AJ64" s="13">
        <f>IF(LEFT($A64,8)="Tránsito",IFERROR(_xlfn.XLOOKUP(--$E64,'[1]Reserva Territorios'!$C:$C,'[1]Reserva Territorios'!$J:$J),0),0)</f>
        <v>0</v>
      </c>
      <c r="AK64" s="13">
        <f t="shared" si="4"/>
        <v>0</v>
      </c>
    </row>
    <row r="65" spans="1:37" ht="48.95" customHeight="1" x14ac:dyDescent="0.25">
      <c r="A65" s="3" t="s">
        <v>37</v>
      </c>
      <c r="B65" s="4" t="s">
        <v>231</v>
      </c>
      <c r="C65" s="4" t="s">
        <v>232</v>
      </c>
      <c r="D65" s="4" t="s">
        <v>57</v>
      </c>
      <c r="E65" s="4" t="s">
        <v>257</v>
      </c>
      <c r="F65" s="4" t="s">
        <v>258</v>
      </c>
      <c r="G65" s="4" t="s">
        <v>67</v>
      </c>
      <c r="H65" s="5">
        <v>19</v>
      </c>
      <c r="I65" s="6">
        <v>67</v>
      </c>
      <c r="J65" s="7">
        <f>ROUND(I65*[1]Parametros!$B$10,-3)</f>
        <v>239000</v>
      </c>
      <c r="K65" s="8">
        <v>0</v>
      </c>
      <c r="L65" s="9" t="str">
        <f>IF(MIN(N(INDEX([1]Parametros!B$16:B$20,MATCH($C65,[1]Parametros!$A$16:$A$20,0)))*$K65,N('[1]ATS USA'!K65))&lt;=0,"",MIN(N(INDEX([1]Parametros!B$16:B$20,MATCH($C65,[1]Parametros!$A$16:$A$20,0)))*$K65,N('[1]ATS USA'!K65)))</f>
        <v/>
      </c>
      <c r="M65" s="9" t="str">
        <f>IF(MIN(N(INDEX([1]Parametros!C$16:C$20,MATCH($C65,[1]Parametros!$A$16:$A$20,0)))*$K65,N('[1]ATS USA'!L65))&lt;=0,"",MIN(N(INDEX([1]Parametros!C$16:C$20,MATCH($C65,[1]Parametros!$A$16:$A$20,0)))*$K65,N('[1]ATS USA'!L65)))</f>
        <v/>
      </c>
      <c r="N65" s="9" t="str">
        <f>IF(MIN(N(INDEX([1]Parametros!D$16:D$20,MATCH($C65,[1]Parametros!$A$16:$A$20,0)))*$K65,N('[1]ATS USA'!M65))&lt;=0,"",MIN(N(INDEX([1]Parametros!D$16:D$20,MATCH($C65,[1]Parametros!$A$16:$A$20,0)))*$K65,N('[1]ATS USA'!M65)))</f>
        <v/>
      </c>
      <c r="O65" s="9" t="str">
        <f>IF(MIN(N(INDEX([1]Parametros!E$16:E$20,MATCH($C65,[1]Parametros!$A$16:$A$20,0)))*$K65,N('[1]ATS USA'!N65))&lt;=0,"",MIN(N(INDEX([1]Parametros!E$16:E$20,MATCH($C65,[1]Parametros!$A$16:$A$20,0)))*$K65,N('[1]ATS USA'!N65)))</f>
        <v/>
      </c>
      <c r="P65" s="9" t="str">
        <f>IF(MIN(N(INDEX([1]Parametros!F$16:F$20,MATCH($C65,[1]Parametros!$A$16:$A$20,0)))*$K65,N('[1]ATS USA'!O65))&lt;=0,"",MIN(N(INDEX([1]Parametros!F$16:F$20,MATCH($C65,[1]Parametros!$A$16:$A$20,0)))*$K65,N('[1]ATS USA'!O65)))</f>
        <v/>
      </c>
      <c r="Q65" s="9" t="str">
        <f>IF(MIN(N(INDEX([1]Parametros!G$16:G$20,MATCH($C65,[1]Parametros!$A$16:$A$20,0)))*$K65,N('[1]ATS USA'!P65))&lt;=0,"",MIN(N(INDEX([1]Parametros!G$16:G$20,MATCH($C65,[1]Parametros!$A$16:$A$20,0)))*$K65,N('[1]ATS USA'!P65)))</f>
        <v/>
      </c>
      <c r="R65" s="9" t="str">
        <f>IF(MIN(N(INDEX([1]Parametros!H$16:H$20,MATCH($C65,[1]Parametros!$A$16:$A$20,0)))*$K65,N('[1]ATS USA'!Q65))&lt;=0,"",MIN(N(INDEX([1]Parametros!H$16:H$20,MATCH($C65,[1]Parametros!$A$16:$A$20,0)))*$K65,N('[1]ATS USA'!Q65)))</f>
        <v/>
      </c>
      <c r="S65" s="9" t="str">
        <f>IF(MIN(N(INDEX([1]Parametros!I$16:I$20,MATCH($C65,[1]Parametros!$A$16:$A$20,0)))*$K65,N('[1]ATS USA'!R65))&lt;=0,"",MIN(N(INDEX([1]Parametros!I$16:I$20,MATCH($C65,[1]Parametros!$A$16:$A$20,0)))*$K65,N('[1]ATS USA'!R65)))</f>
        <v/>
      </c>
      <c r="T65" s="9" t="str">
        <f>IF(MIN(N(INDEX([1]Parametros!J$16:J$20,MATCH($C65,[1]Parametros!$A$16:$A$20,0)))*$K65,N('[1]ATS USA'!S65))&lt;=0,"",MIN(N(INDEX([1]Parametros!J$16:J$20,MATCH($C65,[1]Parametros!$A$16:$A$20,0)))*$K65,N('[1]ATS USA'!S65)))</f>
        <v/>
      </c>
      <c r="U65" s="9" t="str">
        <f>IF(MIN(N(INDEX([1]Parametros!K$16:K$20,MATCH($C65,[1]Parametros!$A$16:$A$20,0)))*$K65,N('[1]ATS USA'!T65))&lt;=0,"",MIN(N(INDEX([1]Parametros!K$16:K$20,MATCH($C65,[1]Parametros!$A$16:$A$20,0)))*$K65,N('[1]ATS USA'!T65)))</f>
        <v/>
      </c>
      <c r="V65" s="10" t="str">
        <f>IF(MIN(N(INDEX([1]Parametros!L$16:L$20,MATCH($C65,[1]Parametros!$A$16:$A$20,0)))*$K65,N('[1]ATS USA'!U65))&lt;=0,"",MIN(N(INDEX([1]Parametros!L$16:L$20,MATCH($C65,[1]Parametros!$A$16:$A$20,0)))*$K65,N('[1]ATS USA'!U65)))</f>
        <v/>
      </c>
      <c r="W65" s="9" t="str">
        <f>IF(MIN(N(INDEX([1]Parametros!M$16:M$20,MATCH($C65,[1]Parametros!$A$16:$A$20,0)))*$K65,N('[1]ATS USA'!V65))&lt;=0,"",MIN(N(INDEX([1]Parametros!M$16:M$20,MATCH($C65,[1]Parametros!$A$16:$A$20,0)))*$K65,N('[1]ATS USA'!V65)))</f>
        <v/>
      </c>
      <c r="X65" s="10" t="str">
        <f>IF(MIN(N(INDEX([1]Parametros!N$16:N$20,MATCH($C65,[1]Parametros!$A$16:$A$20,0)))*$K65,N('[1]ATS USA'!W65))&lt;=0,"",MIN(N(INDEX([1]Parametros!N$16:N$20,MATCH($C65,[1]Parametros!$A$16:$A$20,0)))*$K65,N('[1]ATS USA'!W65)))</f>
        <v/>
      </c>
      <c r="Y65" s="9" t="str">
        <f>IF(MIN(N(INDEX([1]Parametros!O$16:O$20,MATCH($C65,[1]Parametros!$A$16:$A$20,0)))*$K65,N('[1]ATS USA'!X65))&lt;=0,"",MIN(N(INDEX([1]Parametros!O$16:O$20,MATCH($C65,[1]Parametros!$A$16:$A$20,0)))*$K65,N('[1]ATS USA'!X65)))</f>
        <v/>
      </c>
      <c r="Z65" s="10" t="str">
        <f>IF(MIN(N(INDEX([1]Parametros!P$16:P$20,MATCH($C65,[1]Parametros!$A$16:$A$20,0)))*$K65,N('[1]ATS USA'!Y65))&lt;=0,"",MIN(N(INDEX([1]Parametros!P$16:P$20,MATCH($C65,[1]Parametros!$A$16:$A$20,0)))*$K65,N('[1]ATS USA'!Y65)))</f>
        <v/>
      </c>
      <c r="AA65" s="9" t="str">
        <f>IF(MIN(N(INDEX([1]Parametros!Q$16:Q$20,MATCH($C65,[1]Parametros!$A$16:$A$20,0)))*$K65,N('[1]ATS USA'!Z65))&lt;=0,"",MIN(N(INDEX([1]Parametros!Q$16:Q$20,MATCH($C65,[1]Parametros!$A$16:$A$20,0)))*$K65,N('[1]ATS USA'!Z65)))</f>
        <v/>
      </c>
      <c r="AB65" s="10" t="str">
        <f>IF(MIN(N(INDEX([1]Parametros!R$16:R$20,MATCH($C65,[1]Parametros!$A$16:$A$20,0)))*$K65,N('[1]ATS USA'!AA65))&lt;=0,"",MIN(N(INDEX([1]Parametros!R$16:R$20,MATCH($C65,[1]Parametros!$A$16:$A$20,0)))*$K65,N('[1]ATS USA'!AA65)))</f>
        <v/>
      </c>
      <c r="AC65" s="9" t="str">
        <f>IF(MIN(N(INDEX([1]Parametros!S$16:S$20,MATCH($C65,[1]Parametros!$A$16:$A$20,0)))*$K65,N('[1]ATS USA'!AB65))&lt;=0,"",MIN(N(INDEX([1]Parametros!S$16:S$20,MATCH($C65,[1]Parametros!$A$16:$A$20,0)))*$K65,N('[1]ATS USA'!AB65)))</f>
        <v/>
      </c>
      <c r="AD65" s="10" t="str">
        <f>IF(MIN(N(INDEX([1]Parametros!T$16:T$20,MATCH($C65,[1]Parametros!$A$16:$A$20,0)))*$K65,N('[1]ATS USA'!AC65))&lt;=0,"",MIN(N(INDEX([1]Parametros!T$16:T$20,MATCH($C65,[1]Parametros!$A$16:$A$20,0)))*$K65,N('[1]ATS USA'!AC65)))</f>
        <v/>
      </c>
      <c r="AE65" s="10" t="str">
        <f>IF(MIN(N(INDEX([1]Parametros!U$16:U$20,MATCH($C65,[1]Parametros!$A$16:$A$20,0)))*$K65,N('[1]ATS USA'!AD65))&lt;=0,"",MIN(N(INDEX([1]Parametros!U$16:U$20,MATCH($C65,[1]Parametros!$A$16:$A$20,0)))*$K65,N('[1]ATS USA'!AD65)))</f>
        <v/>
      </c>
      <c r="AF65" s="11">
        <f t="shared" si="5"/>
        <v>0</v>
      </c>
      <c r="AG65" s="12" t="str">
        <f t="shared" si="1"/>
        <v>OK</v>
      </c>
      <c r="AH65" s="6">
        <f t="shared" si="2"/>
        <v>0</v>
      </c>
      <c r="AI65" s="9">
        <f t="shared" si="3"/>
        <v>0</v>
      </c>
      <c r="AJ65" s="13">
        <f>IF(LEFT($A65,8)="Tránsito",IFERROR(_xlfn.XLOOKUP(--$E65,'[1]Reserva Territorios'!$C:$C,'[1]Reserva Territorios'!$J:$J),0),0)</f>
        <v>0</v>
      </c>
      <c r="AK65" s="13">
        <f t="shared" si="4"/>
        <v>0</v>
      </c>
    </row>
    <row r="66" spans="1:37" ht="48.95" customHeight="1" x14ac:dyDescent="0.25">
      <c r="A66" s="3" t="s">
        <v>37</v>
      </c>
      <c r="B66" s="4" t="s">
        <v>231</v>
      </c>
      <c r="C66" s="4" t="s">
        <v>232</v>
      </c>
      <c r="D66" s="4" t="s">
        <v>259</v>
      </c>
      <c r="E66" s="4" t="s">
        <v>260</v>
      </c>
      <c r="F66" s="4" t="s">
        <v>261</v>
      </c>
      <c r="G66" s="4" t="s">
        <v>262</v>
      </c>
      <c r="H66" s="5">
        <v>19</v>
      </c>
      <c r="I66" s="6">
        <v>62</v>
      </c>
      <c r="J66" s="7">
        <f>ROUND(I66*[1]Parametros!$B$10,-3)</f>
        <v>221000</v>
      </c>
      <c r="K66" s="8">
        <v>0</v>
      </c>
      <c r="L66" s="9" t="str">
        <f>IF(MIN(N(INDEX([1]Parametros!B$16:B$20,MATCH($C66,[1]Parametros!$A$16:$A$20,0)))*$K66,N('[1]ATS USA'!K66))&lt;=0,"",MIN(N(INDEX([1]Parametros!B$16:B$20,MATCH($C66,[1]Parametros!$A$16:$A$20,0)))*$K66,N('[1]ATS USA'!K66)))</f>
        <v/>
      </c>
      <c r="M66" s="9" t="str">
        <f>IF(MIN(N(INDEX([1]Parametros!C$16:C$20,MATCH($C66,[1]Parametros!$A$16:$A$20,0)))*$K66,N('[1]ATS USA'!L66))&lt;=0,"",MIN(N(INDEX([1]Parametros!C$16:C$20,MATCH($C66,[1]Parametros!$A$16:$A$20,0)))*$K66,N('[1]ATS USA'!L66)))</f>
        <v/>
      </c>
      <c r="N66" s="9" t="str">
        <f>IF(MIN(N(INDEX([1]Parametros!D$16:D$20,MATCH($C66,[1]Parametros!$A$16:$A$20,0)))*$K66,N('[1]ATS USA'!M66))&lt;=0,"",MIN(N(INDEX([1]Parametros!D$16:D$20,MATCH($C66,[1]Parametros!$A$16:$A$20,0)))*$K66,N('[1]ATS USA'!M66)))</f>
        <v/>
      </c>
      <c r="O66" s="9" t="str">
        <f>IF(MIN(N(INDEX([1]Parametros!E$16:E$20,MATCH($C66,[1]Parametros!$A$16:$A$20,0)))*$K66,N('[1]ATS USA'!N66))&lt;=0,"",MIN(N(INDEX([1]Parametros!E$16:E$20,MATCH($C66,[1]Parametros!$A$16:$A$20,0)))*$K66,N('[1]ATS USA'!N66)))</f>
        <v/>
      </c>
      <c r="P66" s="9" t="str">
        <f>IF(MIN(N(INDEX([1]Parametros!F$16:F$20,MATCH($C66,[1]Parametros!$A$16:$A$20,0)))*$K66,N('[1]ATS USA'!O66))&lt;=0,"",MIN(N(INDEX([1]Parametros!F$16:F$20,MATCH($C66,[1]Parametros!$A$16:$A$20,0)))*$K66,N('[1]ATS USA'!O66)))</f>
        <v/>
      </c>
      <c r="Q66" s="9" t="str">
        <f>IF(MIN(N(INDEX([1]Parametros!G$16:G$20,MATCH($C66,[1]Parametros!$A$16:$A$20,0)))*$K66,N('[1]ATS USA'!P66))&lt;=0,"",MIN(N(INDEX([1]Parametros!G$16:G$20,MATCH($C66,[1]Parametros!$A$16:$A$20,0)))*$K66,N('[1]ATS USA'!P66)))</f>
        <v/>
      </c>
      <c r="R66" s="9" t="str">
        <f>IF(MIN(N(INDEX([1]Parametros!H$16:H$20,MATCH($C66,[1]Parametros!$A$16:$A$20,0)))*$K66,N('[1]ATS USA'!Q66))&lt;=0,"",MIN(N(INDEX([1]Parametros!H$16:H$20,MATCH($C66,[1]Parametros!$A$16:$A$20,0)))*$K66,N('[1]ATS USA'!Q66)))</f>
        <v/>
      </c>
      <c r="S66" s="9" t="str">
        <f>IF(MIN(N(INDEX([1]Parametros!I$16:I$20,MATCH($C66,[1]Parametros!$A$16:$A$20,0)))*$K66,N('[1]ATS USA'!R66))&lt;=0,"",MIN(N(INDEX([1]Parametros!I$16:I$20,MATCH($C66,[1]Parametros!$A$16:$A$20,0)))*$K66,N('[1]ATS USA'!R66)))</f>
        <v/>
      </c>
      <c r="T66" s="9" t="str">
        <f>IF(MIN(N(INDEX([1]Parametros!J$16:J$20,MATCH($C66,[1]Parametros!$A$16:$A$20,0)))*$K66,N('[1]ATS USA'!S66))&lt;=0,"",MIN(N(INDEX([1]Parametros!J$16:J$20,MATCH($C66,[1]Parametros!$A$16:$A$20,0)))*$K66,N('[1]ATS USA'!S66)))</f>
        <v/>
      </c>
      <c r="U66" s="9" t="str">
        <f>IF(MIN(N(INDEX([1]Parametros!K$16:K$20,MATCH($C66,[1]Parametros!$A$16:$A$20,0)))*$K66,N('[1]ATS USA'!T66))&lt;=0,"",MIN(N(INDEX([1]Parametros!K$16:K$20,MATCH($C66,[1]Parametros!$A$16:$A$20,0)))*$K66,N('[1]ATS USA'!T66)))</f>
        <v/>
      </c>
      <c r="V66" s="10" t="str">
        <f>IF(MIN(N(INDEX([1]Parametros!L$16:L$20,MATCH($C66,[1]Parametros!$A$16:$A$20,0)))*$K66,N('[1]ATS USA'!U66))&lt;=0,"",MIN(N(INDEX([1]Parametros!L$16:L$20,MATCH($C66,[1]Parametros!$A$16:$A$20,0)))*$K66,N('[1]ATS USA'!U66)))</f>
        <v/>
      </c>
      <c r="W66" s="9" t="str">
        <f>IF(MIN(N(INDEX([1]Parametros!M$16:M$20,MATCH($C66,[1]Parametros!$A$16:$A$20,0)))*$K66,N('[1]ATS USA'!V66))&lt;=0,"",MIN(N(INDEX([1]Parametros!M$16:M$20,MATCH($C66,[1]Parametros!$A$16:$A$20,0)))*$K66,N('[1]ATS USA'!V66)))</f>
        <v/>
      </c>
      <c r="X66" s="10" t="str">
        <f>IF(MIN(N(INDEX([1]Parametros!N$16:N$20,MATCH($C66,[1]Parametros!$A$16:$A$20,0)))*$K66,N('[1]ATS USA'!W66))&lt;=0,"",MIN(N(INDEX([1]Parametros!N$16:N$20,MATCH($C66,[1]Parametros!$A$16:$A$20,0)))*$K66,N('[1]ATS USA'!W66)))</f>
        <v/>
      </c>
      <c r="Y66" s="9" t="str">
        <f>IF(MIN(N(INDEX([1]Parametros!O$16:O$20,MATCH($C66,[1]Parametros!$A$16:$A$20,0)))*$K66,N('[1]ATS USA'!X66))&lt;=0,"",MIN(N(INDEX([1]Parametros!O$16:O$20,MATCH($C66,[1]Parametros!$A$16:$A$20,0)))*$K66,N('[1]ATS USA'!X66)))</f>
        <v/>
      </c>
      <c r="Z66" s="10" t="str">
        <f>IF(MIN(N(INDEX([1]Parametros!P$16:P$20,MATCH($C66,[1]Parametros!$A$16:$A$20,0)))*$K66,N('[1]ATS USA'!Y66))&lt;=0,"",MIN(N(INDEX([1]Parametros!P$16:P$20,MATCH($C66,[1]Parametros!$A$16:$A$20,0)))*$K66,N('[1]ATS USA'!Y66)))</f>
        <v/>
      </c>
      <c r="AA66" s="9" t="str">
        <f>IF(MIN(N(INDEX([1]Parametros!Q$16:Q$20,MATCH($C66,[1]Parametros!$A$16:$A$20,0)))*$K66,N('[1]ATS USA'!Z66))&lt;=0,"",MIN(N(INDEX([1]Parametros!Q$16:Q$20,MATCH($C66,[1]Parametros!$A$16:$A$20,0)))*$K66,N('[1]ATS USA'!Z66)))</f>
        <v/>
      </c>
      <c r="AB66" s="10" t="str">
        <f>IF(MIN(N(INDEX([1]Parametros!R$16:R$20,MATCH($C66,[1]Parametros!$A$16:$A$20,0)))*$K66,N('[1]ATS USA'!AA66))&lt;=0,"",MIN(N(INDEX([1]Parametros!R$16:R$20,MATCH($C66,[1]Parametros!$A$16:$A$20,0)))*$K66,N('[1]ATS USA'!AA66)))</f>
        <v/>
      </c>
      <c r="AC66" s="9" t="str">
        <f>IF(MIN(N(INDEX([1]Parametros!S$16:S$20,MATCH($C66,[1]Parametros!$A$16:$A$20,0)))*$K66,N('[1]ATS USA'!AB66))&lt;=0,"",MIN(N(INDEX([1]Parametros!S$16:S$20,MATCH($C66,[1]Parametros!$A$16:$A$20,0)))*$K66,N('[1]ATS USA'!AB66)))</f>
        <v/>
      </c>
      <c r="AD66" s="10" t="str">
        <f>IF(MIN(N(INDEX([1]Parametros!T$16:T$20,MATCH($C66,[1]Parametros!$A$16:$A$20,0)))*$K66,N('[1]ATS USA'!AC66))&lt;=0,"",MIN(N(INDEX([1]Parametros!T$16:T$20,MATCH($C66,[1]Parametros!$A$16:$A$20,0)))*$K66,N('[1]ATS USA'!AC66)))</f>
        <v/>
      </c>
      <c r="AE66" s="10" t="str">
        <f>IF(MIN(N(INDEX([1]Parametros!U$16:U$20,MATCH($C66,[1]Parametros!$A$16:$A$20,0)))*$K66,N('[1]ATS USA'!AD66))&lt;=0,"",MIN(N(INDEX([1]Parametros!U$16:U$20,MATCH($C66,[1]Parametros!$A$16:$A$20,0)))*$K66,N('[1]ATS USA'!AD66)))</f>
        <v/>
      </c>
      <c r="AF66" s="11">
        <f t="shared" ref="AF66:AF81" si="6">SUM(L66:AE66)</f>
        <v>0</v>
      </c>
      <c r="AG66" s="12" t="str">
        <f t="shared" ref="AG66:AG81" si="7">IF(AF66=12*K66,"OK","AJUSTAR")</f>
        <v>OK</v>
      </c>
      <c r="AH66" s="6">
        <f t="shared" ref="AH66:AH81" si="8">H66*AF66</f>
        <v>0</v>
      </c>
      <c r="AI66" s="9">
        <f t="shared" ref="AI66:AI81" si="9">12*K66-AF66</f>
        <v>0</v>
      </c>
      <c r="AJ66" s="13">
        <f>IF(LEFT($A66,8)="Tránsito",IFERROR(_xlfn.XLOOKUP(--$E66,'[1]Reserva Territorios'!$C:$C,'[1]Reserva Territorios'!$J:$J),0),0)</f>
        <v>0</v>
      </c>
      <c r="AK66" s="13">
        <f t="shared" si="4"/>
        <v>0</v>
      </c>
    </row>
    <row r="67" spans="1:37" ht="48.95" customHeight="1" x14ac:dyDescent="0.25">
      <c r="A67" s="3" t="s">
        <v>37</v>
      </c>
      <c r="B67" s="4" t="s">
        <v>231</v>
      </c>
      <c r="C67" s="4" t="s">
        <v>232</v>
      </c>
      <c r="D67" s="4" t="s">
        <v>259</v>
      </c>
      <c r="E67" s="4" t="s">
        <v>263</v>
      </c>
      <c r="F67" s="4" t="s">
        <v>264</v>
      </c>
      <c r="G67" s="4" t="s">
        <v>265</v>
      </c>
      <c r="H67" s="5">
        <v>19</v>
      </c>
      <c r="I67" s="6">
        <v>62</v>
      </c>
      <c r="J67" s="7">
        <f>ROUND(I67*[1]Parametros!$B$10,-3)</f>
        <v>221000</v>
      </c>
      <c r="K67" s="8">
        <v>0</v>
      </c>
      <c r="L67" s="9" t="str">
        <f>IF(MIN(N(INDEX([1]Parametros!B$16:B$20,MATCH($C67,[1]Parametros!$A$16:$A$20,0)))*$K67,N('[1]ATS USA'!K67))&lt;=0,"",MIN(N(INDEX([1]Parametros!B$16:B$20,MATCH($C67,[1]Parametros!$A$16:$A$20,0)))*$K67,N('[1]ATS USA'!K67)))</f>
        <v/>
      </c>
      <c r="M67" s="9" t="str">
        <f>IF(MIN(N(INDEX([1]Parametros!C$16:C$20,MATCH($C67,[1]Parametros!$A$16:$A$20,0)))*$K67,N('[1]ATS USA'!L67))&lt;=0,"",MIN(N(INDEX([1]Parametros!C$16:C$20,MATCH($C67,[1]Parametros!$A$16:$A$20,0)))*$K67,N('[1]ATS USA'!L67)))</f>
        <v/>
      </c>
      <c r="N67" s="9" t="str">
        <f>IF(MIN(N(INDEX([1]Parametros!D$16:D$20,MATCH($C67,[1]Parametros!$A$16:$A$20,0)))*$K67,N('[1]ATS USA'!M67))&lt;=0,"",MIN(N(INDEX([1]Parametros!D$16:D$20,MATCH($C67,[1]Parametros!$A$16:$A$20,0)))*$K67,N('[1]ATS USA'!M67)))</f>
        <v/>
      </c>
      <c r="O67" s="9" t="str">
        <f>IF(MIN(N(INDEX([1]Parametros!E$16:E$20,MATCH($C67,[1]Parametros!$A$16:$A$20,0)))*$K67,N('[1]ATS USA'!N67))&lt;=0,"",MIN(N(INDEX([1]Parametros!E$16:E$20,MATCH($C67,[1]Parametros!$A$16:$A$20,0)))*$K67,N('[1]ATS USA'!N67)))</f>
        <v/>
      </c>
      <c r="P67" s="9" t="str">
        <f>IF(MIN(N(INDEX([1]Parametros!F$16:F$20,MATCH($C67,[1]Parametros!$A$16:$A$20,0)))*$K67,N('[1]ATS USA'!O67))&lt;=0,"",MIN(N(INDEX([1]Parametros!F$16:F$20,MATCH($C67,[1]Parametros!$A$16:$A$20,0)))*$K67,N('[1]ATS USA'!O67)))</f>
        <v/>
      </c>
      <c r="Q67" s="9" t="str">
        <f>IF(MIN(N(INDEX([1]Parametros!G$16:G$20,MATCH($C67,[1]Parametros!$A$16:$A$20,0)))*$K67,N('[1]ATS USA'!P67))&lt;=0,"",MIN(N(INDEX([1]Parametros!G$16:G$20,MATCH($C67,[1]Parametros!$A$16:$A$20,0)))*$K67,N('[1]ATS USA'!P67)))</f>
        <v/>
      </c>
      <c r="R67" s="9" t="str">
        <f>IF(MIN(N(INDEX([1]Parametros!H$16:H$20,MATCH($C67,[1]Parametros!$A$16:$A$20,0)))*$K67,N('[1]ATS USA'!Q67))&lt;=0,"",MIN(N(INDEX([1]Parametros!H$16:H$20,MATCH($C67,[1]Parametros!$A$16:$A$20,0)))*$K67,N('[1]ATS USA'!Q67)))</f>
        <v/>
      </c>
      <c r="S67" s="9" t="str">
        <f>IF(MIN(N(INDEX([1]Parametros!I$16:I$20,MATCH($C67,[1]Parametros!$A$16:$A$20,0)))*$K67,N('[1]ATS USA'!R67))&lt;=0,"",MIN(N(INDEX([1]Parametros!I$16:I$20,MATCH($C67,[1]Parametros!$A$16:$A$20,0)))*$K67,N('[1]ATS USA'!R67)))</f>
        <v/>
      </c>
      <c r="T67" s="9" t="str">
        <f>IF(MIN(N(INDEX([1]Parametros!J$16:J$20,MATCH($C67,[1]Parametros!$A$16:$A$20,0)))*$K67,N('[1]ATS USA'!S67))&lt;=0,"",MIN(N(INDEX([1]Parametros!J$16:J$20,MATCH($C67,[1]Parametros!$A$16:$A$20,0)))*$K67,N('[1]ATS USA'!S67)))</f>
        <v/>
      </c>
      <c r="U67" s="9" t="str">
        <f>IF(MIN(N(INDEX([1]Parametros!K$16:K$20,MATCH($C67,[1]Parametros!$A$16:$A$20,0)))*$K67,N('[1]ATS USA'!T67))&lt;=0,"",MIN(N(INDEX([1]Parametros!K$16:K$20,MATCH($C67,[1]Parametros!$A$16:$A$20,0)))*$K67,N('[1]ATS USA'!T67)))</f>
        <v/>
      </c>
      <c r="V67" s="10" t="str">
        <f>IF(MIN(N(INDEX([1]Parametros!L$16:L$20,MATCH($C67,[1]Parametros!$A$16:$A$20,0)))*$K67,N('[1]ATS USA'!U67))&lt;=0,"",MIN(N(INDEX([1]Parametros!L$16:L$20,MATCH($C67,[1]Parametros!$A$16:$A$20,0)))*$K67,N('[1]ATS USA'!U67)))</f>
        <v/>
      </c>
      <c r="W67" s="9" t="str">
        <f>IF(MIN(N(INDEX([1]Parametros!M$16:M$20,MATCH($C67,[1]Parametros!$A$16:$A$20,0)))*$K67,N('[1]ATS USA'!V67))&lt;=0,"",MIN(N(INDEX([1]Parametros!M$16:M$20,MATCH($C67,[1]Parametros!$A$16:$A$20,0)))*$K67,N('[1]ATS USA'!V67)))</f>
        <v/>
      </c>
      <c r="X67" s="10" t="str">
        <f>IF(MIN(N(INDEX([1]Parametros!N$16:N$20,MATCH($C67,[1]Parametros!$A$16:$A$20,0)))*$K67,N('[1]ATS USA'!W67))&lt;=0,"",MIN(N(INDEX([1]Parametros!N$16:N$20,MATCH($C67,[1]Parametros!$A$16:$A$20,0)))*$K67,N('[1]ATS USA'!W67)))</f>
        <v/>
      </c>
      <c r="Y67" s="9" t="str">
        <f>IF(MIN(N(INDEX([1]Parametros!O$16:O$20,MATCH($C67,[1]Parametros!$A$16:$A$20,0)))*$K67,N('[1]ATS USA'!X67))&lt;=0,"",MIN(N(INDEX([1]Parametros!O$16:O$20,MATCH($C67,[1]Parametros!$A$16:$A$20,0)))*$K67,N('[1]ATS USA'!X67)))</f>
        <v/>
      </c>
      <c r="Z67" s="10" t="str">
        <f>IF(MIN(N(INDEX([1]Parametros!P$16:P$20,MATCH($C67,[1]Parametros!$A$16:$A$20,0)))*$K67,N('[1]ATS USA'!Y67))&lt;=0,"",MIN(N(INDEX([1]Parametros!P$16:P$20,MATCH($C67,[1]Parametros!$A$16:$A$20,0)))*$K67,N('[1]ATS USA'!Y67)))</f>
        <v/>
      </c>
      <c r="AA67" s="9" t="str">
        <f>IF(MIN(N(INDEX([1]Parametros!Q$16:Q$20,MATCH($C67,[1]Parametros!$A$16:$A$20,0)))*$K67,N('[1]ATS USA'!Z67))&lt;=0,"",MIN(N(INDEX([1]Parametros!Q$16:Q$20,MATCH($C67,[1]Parametros!$A$16:$A$20,0)))*$K67,N('[1]ATS USA'!Z67)))</f>
        <v/>
      </c>
      <c r="AB67" s="10" t="str">
        <f>IF(MIN(N(INDEX([1]Parametros!R$16:R$20,MATCH($C67,[1]Parametros!$A$16:$A$20,0)))*$K67,N('[1]ATS USA'!AA67))&lt;=0,"",MIN(N(INDEX([1]Parametros!R$16:R$20,MATCH($C67,[1]Parametros!$A$16:$A$20,0)))*$K67,N('[1]ATS USA'!AA67)))</f>
        <v/>
      </c>
      <c r="AC67" s="9" t="str">
        <f>IF(MIN(N(INDEX([1]Parametros!S$16:S$20,MATCH($C67,[1]Parametros!$A$16:$A$20,0)))*$K67,N('[1]ATS USA'!AB67))&lt;=0,"",MIN(N(INDEX([1]Parametros!S$16:S$20,MATCH($C67,[1]Parametros!$A$16:$A$20,0)))*$K67,N('[1]ATS USA'!AB67)))</f>
        <v/>
      </c>
      <c r="AD67" s="10" t="str">
        <f>IF(MIN(N(INDEX([1]Parametros!T$16:T$20,MATCH($C67,[1]Parametros!$A$16:$A$20,0)))*$K67,N('[1]ATS USA'!AC67))&lt;=0,"",MIN(N(INDEX([1]Parametros!T$16:T$20,MATCH($C67,[1]Parametros!$A$16:$A$20,0)))*$K67,N('[1]ATS USA'!AC67)))</f>
        <v/>
      </c>
      <c r="AE67" s="10" t="str">
        <f>IF(MIN(N(INDEX([1]Parametros!U$16:U$20,MATCH($C67,[1]Parametros!$A$16:$A$20,0)))*$K67,N('[1]ATS USA'!AD67))&lt;=0,"",MIN(N(INDEX([1]Parametros!U$16:U$20,MATCH($C67,[1]Parametros!$A$16:$A$20,0)))*$K67,N('[1]ATS USA'!AD67)))</f>
        <v/>
      </c>
      <c r="AF67" s="11">
        <f t="shared" si="6"/>
        <v>0</v>
      </c>
      <c r="AG67" s="12" t="str">
        <f t="shared" si="7"/>
        <v>OK</v>
      </c>
      <c r="AH67" s="6">
        <f t="shared" si="8"/>
        <v>0</v>
      </c>
      <c r="AI67" s="9">
        <f t="shared" si="9"/>
        <v>0</v>
      </c>
      <c r="AJ67" s="13">
        <f>IF(LEFT($A67,8)="Tránsito",IFERROR(_xlfn.XLOOKUP(--$E67,'[1]Reserva Territorios'!$C:$C,'[1]Reserva Territorios'!$J:$J),0),0)</f>
        <v>0</v>
      </c>
      <c r="AK67" s="13">
        <f t="shared" ref="AK67:AK81" si="10">AF67-AJ67</f>
        <v>0</v>
      </c>
    </row>
    <row r="68" spans="1:37" ht="48.95" hidden="1" customHeight="1" x14ac:dyDescent="0.25">
      <c r="A68" s="3" t="s">
        <v>37</v>
      </c>
      <c r="B68" s="4" t="s">
        <v>231</v>
      </c>
      <c r="C68" s="4" t="s">
        <v>232</v>
      </c>
      <c r="D68" s="4" t="s">
        <v>266</v>
      </c>
      <c r="E68" s="4" t="s">
        <v>267</v>
      </c>
      <c r="F68" s="4" t="s">
        <v>268</v>
      </c>
      <c r="G68" s="4" t="s">
        <v>269</v>
      </c>
      <c r="H68" s="5">
        <v>24</v>
      </c>
      <c r="I68" s="6">
        <v>80</v>
      </c>
      <c r="J68" s="7">
        <f>ROUND(I68*[1]Parametros!$B$10,-3)</f>
        <v>285000</v>
      </c>
      <c r="K68" s="8">
        <v>0</v>
      </c>
      <c r="L68" s="9" t="str">
        <f>IF(MIN(N(INDEX([1]Parametros!B$16:B$20,MATCH($C68,[1]Parametros!$A$16:$A$20,0)))*$K68,N('[1]ATS USA'!K68))&lt;=0,"",MIN(N(INDEX([1]Parametros!B$16:B$20,MATCH($C68,[1]Parametros!$A$16:$A$20,0)))*$K68,N('[1]ATS USA'!K68)))</f>
        <v/>
      </c>
      <c r="M68" s="9" t="str">
        <f>IF(MIN(N(INDEX([1]Parametros!C$16:C$20,MATCH($C68,[1]Parametros!$A$16:$A$20,0)))*$K68,N('[1]ATS USA'!L68))&lt;=0,"",MIN(N(INDEX([1]Parametros!C$16:C$20,MATCH($C68,[1]Parametros!$A$16:$A$20,0)))*$K68,N('[1]ATS USA'!L68)))</f>
        <v/>
      </c>
      <c r="N68" s="9" t="str">
        <f>IF(MIN(N(INDEX([1]Parametros!D$16:D$20,MATCH($C68,[1]Parametros!$A$16:$A$20,0)))*$K68,N('[1]ATS USA'!M68))&lt;=0,"",MIN(N(INDEX([1]Parametros!D$16:D$20,MATCH($C68,[1]Parametros!$A$16:$A$20,0)))*$K68,N('[1]ATS USA'!M68)))</f>
        <v/>
      </c>
      <c r="O68" s="9" t="str">
        <f>IF(MIN(N(INDEX([1]Parametros!E$16:E$20,MATCH($C68,[1]Parametros!$A$16:$A$20,0)))*$K68,N('[1]ATS USA'!N68))&lt;=0,"",MIN(N(INDEX([1]Parametros!E$16:E$20,MATCH($C68,[1]Parametros!$A$16:$A$20,0)))*$K68,N('[1]ATS USA'!N68)))</f>
        <v/>
      </c>
      <c r="P68" s="9" t="str">
        <f>IF(MIN(N(INDEX([1]Parametros!F$16:F$20,MATCH($C68,[1]Parametros!$A$16:$A$20,0)))*$K68,N('[1]ATS USA'!O68))&lt;=0,"",MIN(N(INDEX([1]Parametros!F$16:F$20,MATCH($C68,[1]Parametros!$A$16:$A$20,0)))*$K68,N('[1]ATS USA'!O68)))</f>
        <v/>
      </c>
      <c r="Q68" s="9" t="str">
        <f>IF(MIN(N(INDEX([1]Parametros!G$16:G$20,MATCH($C68,[1]Parametros!$A$16:$A$20,0)))*$K68,N('[1]ATS USA'!P68))&lt;=0,"",MIN(N(INDEX([1]Parametros!G$16:G$20,MATCH($C68,[1]Parametros!$A$16:$A$20,0)))*$K68,N('[1]ATS USA'!P68)))</f>
        <v/>
      </c>
      <c r="R68" s="9" t="str">
        <f>IF(MIN(N(INDEX([1]Parametros!H$16:H$20,MATCH($C68,[1]Parametros!$A$16:$A$20,0)))*$K68,N('[1]ATS USA'!Q68))&lt;=0,"",MIN(N(INDEX([1]Parametros!H$16:H$20,MATCH($C68,[1]Parametros!$A$16:$A$20,0)))*$K68,N('[1]ATS USA'!Q68)))</f>
        <v/>
      </c>
      <c r="S68" s="9" t="str">
        <f>IF(MIN(N(INDEX([1]Parametros!I$16:I$20,MATCH($C68,[1]Parametros!$A$16:$A$20,0)))*$K68,N('[1]ATS USA'!R68))&lt;=0,"",MIN(N(INDEX([1]Parametros!I$16:I$20,MATCH($C68,[1]Parametros!$A$16:$A$20,0)))*$K68,N('[1]ATS USA'!R68)))</f>
        <v/>
      </c>
      <c r="T68" s="9" t="str">
        <f>IF(MIN(N(INDEX([1]Parametros!J$16:J$20,MATCH($C68,[1]Parametros!$A$16:$A$20,0)))*$K68,N('[1]ATS USA'!S68))&lt;=0,"",MIN(N(INDEX([1]Parametros!J$16:J$20,MATCH($C68,[1]Parametros!$A$16:$A$20,0)))*$K68,N('[1]ATS USA'!S68)))</f>
        <v/>
      </c>
      <c r="U68" s="9" t="str">
        <f>IF(MIN(N(INDEX([1]Parametros!K$16:K$20,MATCH($C68,[1]Parametros!$A$16:$A$20,0)))*$K68,N('[1]ATS USA'!T68))&lt;=0,"",MIN(N(INDEX([1]Parametros!K$16:K$20,MATCH($C68,[1]Parametros!$A$16:$A$20,0)))*$K68,N('[1]ATS USA'!T68)))</f>
        <v/>
      </c>
      <c r="V68" s="10" t="str">
        <f>IF(MIN(N(INDEX([1]Parametros!L$16:L$20,MATCH($C68,[1]Parametros!$A$16:$A$20,0)))*$K68,N('[1]ATS USA'!U68))&lt;=0,"",MIN(N(INDEX([1]Parametros!L$16:L$20,MATCH($C68,[1]Parametros!$A$16:$A$20,0)))*$K68,N('[1]ATS USA'!U68)))</f>
        <v/>
      </c>
      <c r="W68" s="9" t="str">
        <f>IF(MIN(N(INDEX([1]Parametros!M$16:M$20,MATCH($C68,[1]Parametros!$A$16:$A$20,0)))*$K68,N('[1]ATS USA'!V68))&lt;=0,"",MIN(N(INDEX([1]Parametros!M$16:M$20,MATCH($C68,[1]Parametros!$A$16:$A$20,0)))*$K68,N('[1]ATS USA'!V68)))</f>
        <v/>
      </c>
      <c r="X68" s="10" t="str">
        <f>IF(MIN(N(INDEX([1]Parametros!N$16:N$20,MATCH($C68,[1]Parametros!$A$16:$A$20,0)))*$K68,N('[1]ATS USA'!W68))&lt;=0,"",MIN(N(INDEX([1]Parametros!N$16:N$20,MATCH($C68,[1]Parametros!$A$16:$A$20,0)))*$K68,N('[1]ATS USA'!W68)))</f>
        <v/>
      </c>
      <c r="Y68" s="9" t="str">
        <f>IF(MIN(N(INDEX([1]Parametros!O$16:O$20,MATCH($C68,[1]Parametros!$A$16:$A$20,0)))*$K68,N('[1]ATS USA'!X68))&lt;=0,"",MIN(N(INDEX([1]Parametros!O$16:O$20,MATCH($C68,[1]Parametros!$A$16:$A$20,0)))*$K68,N('[1]ATS USA'!X68)))</f>
        <v/>
      </c>
      <c r="Z68" s="10" t="str">
        <f>IF(MIN(N(INDEX([1]Parametros!P$16:P$20,MATCH($C68,[1]Parametros!$A$16:$A$20,0)))*$K68,N('[1]ATS USA'!Y68))&lt;=0,"",MIN(N(INDEX([1]Parametros!P$16:P$20,MATCH($C68,[1]Parametros!$A$16:$A$20,0)))*$K68,N('[1]ATS USA'!Y68)))</f>
        <v/>
      </c>
      <c r="AA68" s="9" t="str">
        <f>IF(MIN(N(INDEX([1]Parametros!Q$16:Q$20,MATCH($C68,[1]Parametros!$A$16:$A$20,0)))*$K68,N('[1]ATS USA'!Z68))&lt;=0,"",MIN(N(INDEX([1]Parametros!Q$16:Q$20,MATCH($C68,[1]Parametros!$A$16:$A$20,0)))*$K68,N('[1]ATS USA'!Z68)))</f>
        <v/>
      </c>
      <c r="AB68" s="10" t="str">
        <f>IF(MIN(N(INDEX([1]Parametros!R$16:R$20,MATCH($C68,[1]Parametros!$A$16:$A$20,0)))*$K68,N('[1]ATS USA'!AA68))&lt;=0,"",MIN(N(INDEX([1]Parametros!R$16:R$20,MATCH($C68,[1]Parametros!$A$16:$A$20,0)))*$K68,N('[1]ATS USA'!AA68)))</f>
        <v/>
      </c>
      <c r="AC68" s="9" t="str">
        <f>IF(MIN(N(INDEX([1]Parametros!S$16:S$20,MATCH($C68,[1]Parametros!$A$16:$A$20,0)))*$K68,N('[1]ATS USA'!AB68))&lt;=0,"",MIN(N(INDEX([1]Parametros!S$16:S$20,MATCH($C68,[1]Parametros!$A$16:$A$20,0)))*$K68,N('[1]ATS USA'!AB68)))</f>
        <v/>
      </c>
      <c r="AD68" s="10" t="str">
        <f>IF(MIN(N(INDEX([1]Parametros!T$16:T$20,MATCH($C68,[1]Parametros!$A$16:$A$20,0)))*$K68,N('[1]ATS USA'!AC68))&lt;=0,"",MIN(N(INDEX([1]Parametros!T$16:T$20,MATCH($C68,[1]Parametros!$A$16:$A$20,0)))*$K68,N('[1]ATS USA'!AC68)))</f>
        <v/>
      </c>
      <c r="AE68" s="10" t="str">
        <f>IF(MIN(N(INDEX([1]Parametros!U$16:U$20,MATCH($C68,[1]Parametros!$A$16:$A$20,0)))*$K68,N('[1]ATS USA'!AD68))&lt;=0,"",MIN(N(INDEX([1]Parametros!U$16:U$20,MATCH($C68,[1]Parametros!$A$16:$A$20,0)))*$K68,N('[1]ATS USA'!AD68)))</f>
        <v/>
      </c>
      <c r="AF68" s="11">
        <f t="shared" si="6"/>
        <v>0</v>
      </c>
      <c r="AG68" s="12" t="str">
        <f t="shared" si="7"/>
        <v>OK</v>
      </c>
      <c r="AH68" s="6">
        <f t="shared" si="8"/>
        <v>0</v>
      </c>
      <c r="AI68" s="9">
        <f t="shared" si="9"/>
        <v>0</v>
      </c>
      <c r="AJ68" s="13">
        <f>IF(LEFT($A68,8)="Tránsito",IFERROR(_xlfn.XLOOKUP(--$E68,'[1]Reserva Territorios'!$C:$C,'[1]Reserva Territorios'!$J:$J),0),0)</f>
        <v>0</v>
      </c>
      <c r="AK68" s="13">
        <f t="shared" si="10"/>
        <v>0</v>
      </c>
    </row>
    <row r="69" spans="1:37" ht="48.95" hidden="1" customHeight="1" x14ac:dyDescent="0.25">
      <c r="A69" s="3" t="s">
        <v>37</v>
      </c>
      <c r="B69" s="4" t="s">
        <v>231</v>
      </c>
      <c r="C69" s="4" t="s">
        <v>232</v>
      </c>
      <c r="D69" s="4" t="s">
        <v>95</v>
      </c>
      <c r="E69" s="4" t="s">
        <v>270</v>
      </c>
      <c r="F69" s="4" t="s">
        <v>271</v>
      </c>
      <c r="G69" s="4" t="s">
        <v>189</v>
      </c>
      <c r="H69" s="5">
        <v>26</v>
      </c>
      <c r="I69" s="6">
        <v>85</v>
      </c>
      <c r="J69" s="7">
        <f>ROUND(I69*[1]Parametros!$B$10,-3)</f>
        <v>303000</v>
      </c>
      <c r="K69" s="8">
        <v>0</v>
      </c>
      <c r="L69" s="9" t="str">
        <f>IF(MIN(N(INDEX([1]Parametros!B$16:B$20,MATCH($C69,[1]Parametros!$A$16:$A$20,0)))*$K69,N('[1]ATS USA'!K69))&lt;=0,"",MIN(N(INDEX([1]Parametros!B$16:B$20,MATCH($C69,[1]Parametros!$A$16:$A$20,0)))*$K69,N('[1]ATS USA'!K69)))</f>
        <v/>
      </c>
      <c r="M69" s="9" t="str">
        <f>IF(MIN(N(INDEX([1]Parametros!C$16:C$20,MATCH($C69,[1]Parametros!$A$16:$A$20,0)))*$K69,N('[1]ATS USA'!L69))&lt;=0,"",MIN(N(INDEX([1]Parametros!C$16:C$20,MATCH($C69,[1]Parametros!$A$16:$A$20,0)))*$K69,N('[1]ATS USA'!L69)))</f>
        <v/>
      </c>
      <c r="N69" s="9" t="str">
        <f>IF(MIN(N(INDEX([1]Parametros!D$16:D$20,MATCH($C69,[1]Parametros!$A$16:$A$20,0)))*$K69,N('[1]ATS USA'!M69))&lt;=0,"",MIN(N(INDEX([1]Parametros!D$16:D$20,MATCH($C69,[1]Parametros!$A$16:$A$20,0)))*$K69,N('[1]ATS USA'!M69)))</f>
        <v/>
      </c>
      <c r="O69" s="9" t="str">
        <f>IF(MIN(N(INDEX([1]Parametros!E$16:E$20,MATCH($C69,[1]Parametros!$A$16:$A$20,0)))*$K69,N('[1]ATS USA'!N69))&lt;=0,"",MIN(N(INDEX([1]Parametros!E$16:E$20,MATCH($C69,[1]Parametros!$A$16:$A$20,0)))*$K69,N('[1]ATS USA'!N69)))</f>
        <v/>
      </c>
      <c r="P69" s="9" t="str">
        <f>IF(MIN(N(INDEX([1]Parametros!F$16:F$20,MATCH($C69,[1]Parametros!$A$16:$A$20,0)))*$K69,N('[1]ATS USA'!O69))&lt;=0,"",MIN(N(INDEX([1]Parametros!F$16:F$20,MATCH($C69,[1]Parametros!$A$16:$A$20,0)))*$K69,N('[1]ATS USA'!O69)))</f>
        <v/>
      </c>
      <c r="Q69" s="9" t="str">
        <f>IF(MIN(N(INDEX([1]Parametros!G$16:G$20,MATCH($C69,[1]Parametros!$A$16:$A$20,0)))*$K69,N('[1]ATS USA'!P69))&lt;=0,"",MIN(N(INDEX([1]Parametros!G$16:G$20,MATCH($C69,[1]Parametros!$A$16:$A$20,0)))*$K69,N('[1]ATS USA'!P69)))</f>
        <v/>
      </c>
      <c r="R69" s="9" t="str">
        <f>IF(MIN(N(INDEX([1]Parametros!H$16:H$20,MATCH($C69,[1]Parametros!$A$16:$A$20,0)))*$K69,N('[1]ATS USA'!Q69))&lt;=0,"",MIN(N(INDEX([1]Parametros!H$16:H$20,MATCH($C69,[1]Parametros!$A$16:$A$20,0)))*$K69,N('[1]ATS USA'!Q69)))</f>
        <v/>
      </c>
      <c r="S69" s="9" t="str">
        <f>IF(MIN(N(INDEX([1]Parametros!I$16:I$20,MATCH($C69,[1]Parametros!$A$16:$A$20,0)))*$K69,N('[1]ATS USA'!R69))&lt;=0,"",MIN(N(INDEX([1]Parametros!I$16:I$20,MATCH($C69,[1]Parametros!$A$16:$A$20,0)))*$K69,N('[1]ATS USA'!R69)))</f>
        <v/>
      </c>
      <c r="T69" s="9" t="str">
        <f>IF(MIN(N(INDEX([1]Parametros!J$16:J$20,MATCH($C69,[1]Parametros!$A$16:$A$20,0)))*$K69,N('[1]ATS USA'!S69))&lt;=0,"",MIN(N(INDEX([1]Parametros!J$16:J$20,MATCH($C69,[1]Parametros!$A$16:$A$20,0)))*$K69,N('[1]ATS USA'!S69)))</f>
        <v/>
      </c>
      <c r="U69" s="9" t="str">
        <f>IF(MIN(N(INDEX([1]Parametros!K$16:K$20,MATCH($C69,[1]Parametros!$A$16:$A$20,0)))*$K69,N('[1]ATS USA'!T69))&lt;=0,"",MIN(N(INDEX([1]Parametros!K$16:K$20,MATCH($C69,[1]Parametros!$A$16:$A$20,0)))*$K69,N('[1]ATS USA'!T69)))</f>
        <v/>
      </c>
      <c r="V69" s="10" t="str">
        <f>IF(MIN(N(INDEX([1]Parametros!L$16:L$20,MATCH($C69,[1]Parametros!$A$16:$A$20,0)))*$K69,N('[1]ATS USA'!U69))&lt;=0,"",MIN(N(INDEX([1]Parametros!L$16:L$20,MATCH($C69,[1]Parametros!$A$16:$A$20,0)))*$K69,N('[1]ATS USA'!U69)))</f>
        <v/>
      </c>
      <c r="W69" s="9" t="str">
        <f>IF(MIN(N(INDEX([1]Parametros!M$16:M$20,MATCH($C69,[1]Parametros!$A$16:$A$20,0)))*$K69,N('[1]ATS USA'!V69))&lt;=0,"",MIN(N(INDEX([1]Parametros!M$16:M$20,MATCH($C69,[1]Parametros!$A$16:$A$20,0)))*$K69,N('[1]ATS USA'!V69)))</f>
        <v/>
      </c>
      <c r="X69" s="10" t="str">
        <f>IF(MIN(N(INDEX([1]Parametros!N$16:N$20,MATCH($C69,[1]Parametros!$A$16:$A$20,0)))*$K69,N('[1]ATS USA'!W69))&lt;=0,"",MIN(N(INDEX([1]Parametros!N$16:N$20,MATCH($C69,[1]Parametros!$A$16:$A$20,0)))*$K69,N('[1]ATS USA'!W69)))</f>
        <v/>
      </c>
      <c r="Y69" s="9" t="str">
        <f>IF(MIN(N(INDEX([1]Parametros!O$16:O$20,MATCH($C69,[1]Parametros!$A$16:$A$20,0)))*$K69,N('[1]ATS USA'!X69))&lt;=0,"",MIN(N(INDEX([1]Parametros!O$16:O$20,MATCH($C69,[1]Parametros!$A$16:$A$20,0)))*$K69,N('[1]ATS USA'!X69)))</f>
        <v/>
      </c>
      <c r="Z69" s="10" t="str">
        <f>IF(MIN(N(INDEX([1]Parametros!P$16:P$20,MATCH($C69,[1]Parametros!$A$16:$A$20,0)))*$K69,N('[1]ATS USA'!Y69))&lt;=0,"",MIN(N(INDEX([1]Parametros!P$16:P$20,MATCH($C69,[1]Parametros!$A$16:$A$20,0)))*$K69,N('[1]ATS USA'!Y69)))</f>
        <v/>
      </c>
      <c r="AA69" s="9" t="str">
        <f>IF(MIN(N(INDEX([1]Parametros!Q$16:Q$20,MATCH($C69,[1]Parametros!$A$16:$A$20,0)))*$K69,N('[1]ATS USA'!Z69))&lt;=0,"",MIN(N(INDEX([1]Parametros!Q$16:Q$20,MATCH($C69,[1]Parametros!$A$16:$A$20,0)))*$K69,N('[1]ATS USA'!Z69)))</f>
        <v/>
      </c>
      <c r="AB69" s="10" t="str">
        <f>IF(MIN(N(INDEX([1]Parametros!R$16:R$20,MATCH($C69,[1]Parametros!$A$16:$A$20,0)))*$K69,N('[1]ATS USA'!AA69))&lt;=0,"",MIN(N(INDEX([1]Parametros!R$16:R$20,MATCH($C69,[1]Parametros!$A$16:$A$20,0)))*$K69,N('[1]ATS USA'!AA69)))</f>
        <v/>
      </c>
      <c r="AC69" s="9" t="str">
        <f>IF(MIN(N(INDEX([1]Parametros!S$16:S$20,MATCH($C69,[1]Parametros!$A$16:$A$20,0)))*$K69,N('[1]ATS USA'!AB69))&lt;=0,"",MIN(N(INDEX([1]Parametros!S$16:S$20,MATCH($C69,[1]Parametros!$A$16:$A$20,0)))*$K69,N('[1]ATS USA'!AB69)))</f>
        <v/>
      </c>
      <c r="AD69" s="10" t="str">
        <f>IF(MIN(N(INDEX([1]Parametros!T$16:T$20,MATCH($C69,[1]Parametros!$A$16:$A$20,0)))*$K69,N('[1]ATS USA'!AC69))&lt;=0,"",MIN(N(INDEX([1]Parametros!T$16:T$20,MATCH($C69,[1]Parametros!$A$16:$A$20,0)))*$K69,N('[1]ATS USA'!AC69)))</f>
        <v/>
      </c>
      <c r="AE69" s="10" t="str">
        <f>IF(MIN(N(INDEX([1]Parametros!U$16:U$20,MATCH($C69,[1]Parametros!$A$16:$A$20,0)))*$K69,N('[1]ATS USA'!AD69))&lt;=0,"",MIN(N(INDEX([1]Parametros!U$16:U$20,MATCH($C69,[1]Parametros!$A$16:$A$20,0)))*$K69,N('[1]ATS USA'!AD69)))</f>
        <v/>
      </c>
      <c r="AF69" s="11">
        <f t="shared" si="6"/>
        <v>0</v>
      </c>
      <c r="AG69" s="12" t="str">
        <f t="shared" si="7"/>
        <v>OK</v>
      </c>
      <c r="AH69" s="6">
        <f t="shared" si="8"/>
        <v>0</v>
      </c>
      <c r="AI69" s="9">
        <f t="shared" si="9"/>
        <v>0</v>
      </c>
      <c r="AJ69" s="13">
        <f>IF(LEFT($A69,8)="Tránsito",IFERROR(_xlfn.XLOOKUP(--$E69,'[1]Reserva Territorios'!$C:$C,'[1]Reserva Territorios'!$J:$J),0),0)</f>
        <v>0</v>
      </c>
      <c r="AK69" s="13">
        <f t="shared" si="10"/>
        <v>0</v>
      </c>
    </row>
    <row r="70" spans="1:37" ht="48.95" customHeight="1" x14ac:dyDescent="0.25">
      <c r="A70" s="3" t="s">
        <v>37</v>
      </c>
      <c r="B70" s="4" t="s">
        <v>231</v>
      </c>
      <c r="C70" s="4" t="s">
        <v>272</v>
      </c>
      <c r="D70" s="4" t="s">
        <v>240</v>
      </c>
      <c r="E70" s="4" t="s">
        <v>273</v>
      </c>
      <c r="F70" s="4" t="s">
        <v>274</v>
      </c>
      <c r="G70" s="4" t="s">
        <v>275</v>
      </c>
      <c r="H70" s="5">
        <v>20</v>
      </c>
      <c r="I70" s="6">
        <v>62</v>
      </c>
      <c r="J70" s="7">
        <f>ROUND(I70*[1]Parametros!$B$10,-3)</f>
        <v>221000</v>
      </c>
      <c r="K70" s="8">
        <v>0</v>
      </c>
      <c r="L70" s="10" t="str">
        <f>IF(MIN(N(INDEX([1]Parametros!B$16:B$20,MATCH($C70,[1]Parametros!$A$16:$A$20,0)))*$K70,N('[1]ATS USA'!K70))&lt;=0,"",MIN(N(INDEX([1]Parametros!B$16:B$20,MATCH($C70,[1]Parametros!$A$16:$A$20,0)))*$K70,N('[1]ATS USA'!K70)))</f>
        <v/>
      </c>
      <c r="M70" s="10" t="str">
        <f>IF(MIN(N(INDEX([1]Parametros!C$16:C$20,MATCH($C70,[1]Parametros!$A$16:$A$20,0)))*$K70,N('[1]ATS USA'!L70))&lt;=0,"",MIN(N(INDEX([1]Parametros!C$16:C$20,MATCH($C70,[1]Parametros!$A$16:$A$20,0)))*$K70,N('[1]ATS USA'!L70)))</f>
        <v/>
      </c>
      <c r="N70" s="10" t="str">
        <f>IF(MIN(N(INDEX([1]Parametros!D$16:D$20,MATCH($C70,[1]Parametros!$A$16:$A$20,0)))*$K70,N('[1]ATS USA'!M70))&lt;=0,"",MIN(N(INDEX([1]Parametros!D$16:D$20,MATCH($C70,[1]Parametros!$A$16:$A$20,0)))*$K70,N('[1]ATS USA'!M70)))</f>
        <v/>
      </c>
      <c r="O70" s="10" t="str">
        <f>IF(MIN(N(INDEX([1]Parametros!E$16:E$20,MATCH($C70,[1]Parametros!$A$16:$A$20,0)))*$K70,N('[1]ATS USA'!N70))&lt;=0,"",MIN(N(INDEX([1]Parametros!E$16:E$20,MATCH($C70,[1]Parametros!$A$16:$A$20,0)))*$K70,N('[1]ATS USA'!N70)))</f>
        <v/>
      </c>
      <c r="P70" s="10" t="str">
        <f>IF(MIN(N(INDEX([1]Parametros!F$16:F$20,MATCH($C70,[1]Parametros!$A$16:$A$20,0)))*$K70,N('[1]ATS USA'!O70))&lt;=0,"",MIN(N(INDEX([1]Parametros!F$16:F$20,MATCH($C70,[1]Parametros!$A$16:$A$20,0)))*$K70,N('[1]ATS USA'!O70)))</f>
        <v/>
      </c>
      <c r="Q70" s="9" t="str">
        <f>IF(MIN(N(INDEX([1]Parametros!G$16:G$20,MATCH($C70,[1]Parametros!$A$16:$A$20,0)))*$K70,N('[1]ATS USA'!P70))&lt;=0,"",MIN(N(INDEX([1]Parametros!G$16:G$20,MATCH($C70,[1]Parametros!$A$16:$A$20,0)))*$K70,N('[1]ATS USA'!P70)))</f>
        <v/>
      </c>
      <c r="R70" s="10" t="str">
        <f>IF(MIN(N(INDEX([1]Parametros!H$16:H$20,MATCH($C70,[1]Parametros!$A$16:$A$20,0)))*$K70,N('[1]ATS USA'!Q70))&lt;=0,"",MIN(N(INDEX([1]Parametros!H$16:H$20,MATCH($C70,[1]Parametros!$A$16:$A$20,0)))*$K70,N('[1]ATS USA'!Q70)))</f>
        <v/>
      </c>
      <c r="S70" s="9" t="str">
        <f>IF(MIN(N(INDEX([1]Parametros!I$16:I$20,MATCH($C70,[1]Parametros!$A$16:$A$20,0)))*$K70,N('[1]ATS USA'!R70))&lt;=0,"",MIN(N(INDEX([1]Parametros!I$16:I$20,MATCH($C70,[1]Parametros!$A$16:$A$20,0)))*$K70,N('[1]ATS USA'!R70)))</f>
        <v/>
      </c>
      <c r="T70" s="10" t="str">
        <f>IF(MIN(N(INDEX([1]Parametros!J$16:J$20,MATCH($C70,[1]Parametros!$A$16:$A$20,0)))*$K70,N('[1]ATS USA'!S70))&lt;=0,"",MIN(N(INDEX([1]Parametros!J$16:J$20,MATCH($C70,[1]Parametros!$A$16:$A$20,0)))*$K70,N('[1]ATS USA'!S70)))</f>
        <v/>
      </c>
      <c r="U70" s="9" t="str">
        <f>IF(MIN(N(INDEX([1]Parametros!K$16:K$20,MATCH($C70,[1]Parametros!$A$16:$A$20,0)))*$K70,N('[1]ATS USA'!T70))&lt;=0,"",MIN(N(INDEX([1]Parametros!K$16:K$20,MATCH($C70,[1]Parametros!$A$16:$A$20,0)))*$K70,N('[1]ATS USA'!T70)))</f>
        <v/>
      </c>
      <c r="V70" s="9" t="str">
        <f>IF(MIN(N(INDEX([1]Parametros!L$16:L$20,MATCH($C70,[1]Parametros!$A$16:$A$20,0)))*$K70,N('[1]ATS USA'!U70))&lt;=0,"",MIN(N(INDEX([1]Parametros!L$16:L$20,MATCH($C70,[1]Parametros!$A$16:$A$20,0)))*$K70,N('[1]ATS USA'!U70)))</f>
        <v/>
      </c>
      <c r="W70" s="9" t="str">
        <f>IF(MIN(N(INDEX([1]Parametros!M$16:M$20,MATCH($C70,[1]Parametros!$A$16:$A$20,0)))*$K70,N('[1]ATS USA'!V70))&lt;=0,"",MIN(N(INDEX([1]Parametros!M$16:M$20,MATCH($C70,[1]Parametros!$A$16:$A$20,0)))*$K70,N('[1]ATS USA'!V70)))</f>
        <v/>
      </c>
      <c r="X70" s="9" t="str">
        <f>IF(MIN(N(INDEX([1]Parametros!N$16:N$20,MATCH($C70,[1]Parametros!$A$16:$A$20,0)))*$K70,N('[1]ATS USA'!W70))&lt;=0,"",MIN(N(INDEX([1]Parametros!N$16:N$20,MATCH($C70,[1]Parametros!$A$16:$A$20,0)))*$K70,N('[1]ATS USA'!W70)))</f>
        <v/>
      </c>
      <c r="Y70" s="9" t="str">
        <f>IF(MIN(N(INDEX([1]Parametros!O$16:O$20,MATCH($C70,[1]Parametros!$A$16:$A$20,0)))*$K70,N('[1]ATS USA'!X70))&lt;=0,"",MIN(N(INDEX([1]Parametros!O$16:O$20,MATCH($C70,[1]Parametros!$A$16:$A$20,0)))*$K70,N('[1]ATS USA'!X70)))</f>
        <v/>
      </c>
      <c r="Z70" s="9" t="str">
        <f>IF(MIN(N(INDEX([1]Parametros!P$16:P$20,MATCH($C70,[1]Parametros!$A$16:$A$20,0)))*$K70,N('[1]ATS USA'!Y70))&lt;=0,"",MIN(N(INDEX([1]Parametros!P$16:P$20,MATCH($C70,[1]Parametros!$A$16:$A$20,0)))*$K70,N('[1]ATS USA'!Y70)))</f>
        <v/>
      </c>
      <c r="AA70" s="9" t="str">
        <f>IF(MIN(N(INDEX([1]Parametros!Q$16:Q$20,MATCH($C70,[1]Parametros!$A$16:$A$20,0)))*$K70,N('[1]ATS USA'!Z70))&lt;=0,"",MIN(N(INDEX([1]Parametros!Q$16:Q$20,MATCH($C70,[1]Parametros!$A$16:$A$20,0)))*$K70,N('[1]ATS USA'!Z70)))</f>
        <v/>
      </c>
      <c r="AB70" s="9" t="str">
        <f>IF(MIN(N(INDEX([1]Parametros!R$16:R$20,MATCH($C70,[1]Parametros!$A$16:$A$20,0)))*$K70,N('[1]ATS USA'!AA70))&lt;=0,"",MIN(N(INDEX([1]Parametros!R$16:R$20,MATCH($C70,[1]Parametros!$A$16:$A$20,0)))*$K70,N('[1]ATS USA'!AA70)))</f>
        <v/>
      </c>
      <c r="AC70" s="9" t="str">
        <f>IF(MIN(N(INDEX([1]Parametros!S$16:S$20,MATCH($C70,[1]Parametros!$A$16:$A$20,0)))*$K70,N('[1]ATS USA'!AB70))&lt;=0,"",MIN(N(INDEX([1]Parametros!S$16:S$20,MATCH($C70,[1]Parametros!$A$16:$A$20,0)))*$K70,N('[1]ATS USA'!AB70)))</f>
        <v/>
      </c>
      <c r="AD70" s="9" t="str">
        <f>IF(MIN(N(INDEX([1]Parametros!T$16:T$20,MATCH($C70,[1]Parametros!$A$16:$A$20,0)))*$K70,N('[1]ATS USA'!AC70))&lt;=0,"",MIN(N(INDEX([1]Parametros!T$16:T$20,MATCH($C70,[1]Parametros!$A$16:$A$20,0)))*$K70,N('[1]ATS USA'!AC70)))</f>
        <v/>
      </c>
      <c r="AE70" s="9" t="str">
        <f>IF(MIN(N(INDEX([1]Parametros!U$16:U$20,MATCH($C70,[1]Parametros!$A$16:$A$20,0)))*$K70,N('[1]ATS USA'!AD70))&lt;=0,"",MIN(N(INDEX([1]Parametros!U$16:U$20,MATCH($C70,[1]Parametros!$A$16:$A$20,0)))*$K70,N('[1]ATS USA'!AD70)))</f>
        <v/>
      </c>
      <c r="AF70" s="11">
        <f t="shared" si="6"/>
        <v>0</v>
      </c>
      <c r="AG70" s="12" t="str">
        <f t="shared" si="7"/>
        <v>OK</v>
      </c>
      <c r="AH70" s="6">
        <f t="shared" si="8"/>
        <v>0</v>
      </c>
      <c r="AI70" s="9">
        <f t="shared" si="9"/>
        <v>0</v>
      </c>
      <c r="AJ70" s="13">
        <f>IF(LEFT($A70,8)="Tránsito",IFERROR(_xlfn.XLOOKUP(--$E70,'[1]Reserva Territorios'!$C:$C,'[1]Reserva Territorios'!$J:$J),0),0)</f>
        <v>0</v>
      </c>
      <c r="AK70" s="13">
        <f t="shared" si="10"/>
        <v>0</v>
      </c>
    </row>
    <row r="71" spans="1:37" ht="48.95" hidden="1" customHeight="1" x14ac:dyDescent="0.25">
      <c r="A71" s="3" t="s">
        <v>37</v>
      </c>
      <c r="B71" s="4" t="s">
        <v>231</v>
      </c>
      <c r="C71" s="4" t="s">
        <v>272</v>
      </c>
      <c r="D71" s="4" t="s">
        <v>240</v>
      </c>
      <c r="E71" s="4" t="s">
        <v>276</v>
      </c>
      <c r="F71" s="4" t="s">
        <v>277</v>
      </c>
      <c r="G71" s="4" t="s">
        <v>246</v>
      </c>
      <c r="H71" s="5">
        <v>20</v>
      </c>
      <c r="I71" s="6">
        <v>62</v>
      </c>
      <c r="J71" s="7">
        <f>ROUND(I71*[1]Parametros!$B$10,-3)</f>
        <v>221000</v>
      </c>
      <c r="K71" s="8">
        <v>0</v>
      </c>
      <c r="L71" s="10" t="str">
        <f>IF(MIN(N(INDEX([1]Parametros!B$16:B$20,MATCH($C71,[1]Parametros!$A$16:$A$20,0)))*$K71,N('[1]ATS USA'!K71))&lt;=0,"",MIN(N(INDEX([1]Parametros!B$16:B$20,MATCH($C71,[1]Parametros!$A$16:$A$20,0)))*$K71,N('[1]ATS USA'!K71)))</f>
        <v/>
      </c>
      <c r="M71" s="10" t="str">
        <f>IF(MIN(N(INDEX([1]Parametros!C$16:C$20,MATCH($C71,[1]Parametros!$A$16:$A$20,0)))*$K71,N('[1]ATS USA'!L71))&lt;=0,"",MIN(N(INDEX([1]Parametros!C$16:C$20,MATCH($C71,[1]Parametros!$A$16:$A$20,0)))*$K71,N('[1]ATS USA'!L71)))</f>
        <v/>
      </c>
      <c r="N71" s="10" t="str">
        <f>IF(MIN(N(INDEX([1]Parametros!D$16:D$20,MATCH($C71,[1]Parametros!$A$16:$A$20,0)))*$K71,N('[1]ATS USA'!M71))&lt;=0,"",MIN(N(INDEX([1]Parametros!D$16:D$20,MATCH($C71,[1]Parametros!$A$16:$A$20,0)))*$K71,N('[1]ATS USA'!M71)))</f>
        <v/>
      </c>
      <c r="O71" s="10" t="str">
        <f>IF(MIN(N(INDEX([1]Parametros!E$16:E$20,MATCH($C71,[1]Parametros!$A$16:$A$20,0)))*$K71,N('[1]ATS USA'!N71))&lt;=0,"",MIN(N(INDEX([1]Parametros!E$16:E$20,MATCH($C71,[1]Parametros!$A$16:$A$20,0)))*$K71,N('[1]ATS USA'!N71)))</f>
        <v/>
      </c>
      <c r="P71" s="10" t="str">
        <f>IF(MIN(N(INDEX([1]Parametros!F$16:F$20,MATCH($C71,[1]Parametros!$A$16:$A$20,0)))*$K71,N('[1]ATS USA'!O71))&lt;=0,"",MIN(N(INDEX([1]Parametros!F$16:F$20,MATCH($C71,[1]Parametros!$A$16:$A$20,0)))*$K71,N('[1]ATS USA'!O71)))</f>
        <v/>
      </c>
      <c r="Q71" s="9" t="str">
        <f>IF(MIN(N(INDEX([1]Parametros!G$16:G$20,MATCH($C71,[1]Parametros!$A$16:$A$20,0)))*$K71,N('[1]ATS USA'!P71))&lt;=0,"",MIN(N(INDEX([1]Parametros!G$16:G$20,MATCH($C71,[1]Parametros!$A$16:$A$20,0)))*$K71,N('[1]ATS USA'!P71)))</f>
        <v/>
      </c>
      <c r="R71" s="9" t="str">
        <f>IF(MIN(N(INDEX([1]Parametros!H$16:H$20,MATCH($C71,[1]Parametros!$A$16:$A$20,0)))*$K71,N('[1]ATS USA'!Q71))&lt;=0,"",MIN(N(INDEX([1]Parametros!H$16:H$20,MATCH($C71,[1]Parametros!$A$16:$A$20,0)))*$K71,N('[1]ATS USA'!Q71)))</f>
        <v/>
      </c>
      <c r="S71" s="9" t="str">
        <f>IF(MIN(N(INDEX([1]Parametros!I$16:I$20,MATCH($C71,[1]Parametros!$A$16:$A$20,0)))*$K71,N('[1]ATS USA'!R71))&lt;=0,"",MIN(N(INDEX([1]Parametros!I$16:I$20,MATCH($C71,[1]Parametros!$A$16:$A$20,0)))*$K71,N('[1]ATS USA'!R71)))</f>
        <v/>
      </c>
      <c r="T71" s="10" t="str">
        <f>IF(MIN(N(INDEX([1]Parametros!J$16:J$20,MATCH($C71,[1]Parametros!$A$16:$A$20,0)))*$K71,N('[1]ATS USA'!S71))&lt;=0,"",MIN(N(INDEX([1]Parametros!J$16:J$20,MATCH($C71,[1]Parametros!$A$16:$A$20,0)))*$K71,N('[1]ATS USA'!S71)))</f>
        <v/>
      </c>
      <c r="U71" s="9" t="str">
        <f>IF(MIN(N(INDEX([1]Parametros!K$16:K$20,MATCH($C71,[1]Parametros!$A$16:$A$20,0)))*$K71,N('[1]ATS USA'!T71))&lt;=0,"",MIN(N(INDEX([1]Parametros!K$16:K$20,MATCH($C71,[1]Parametros!$A$16:$A$20,0)))*$K71,N('[1]ATS USA'!T71)))</f>
        <v/>
      </c>
      <c r="V71" s="9" t="str">
        <f>IF(MIN(N(INDEX([1]Parametros!L$16:L$20,MATCH($C71,[1]Parametros!$A$16:$A$20,0)))*$K71,N('[1]ATS USA'!U71))&lt;=0,"",MIN(N(INDEX([1]Parametros!L$16:L$20,MATCH($C71,[1]Parametros!$A$16:$A$20,0)))*$K71,N('[1]ATS USA'!U71)))</f>
        <v/>
      </c>
      <c r="W71" s="9" t="str">
        <f>IF(MIN(N(INDEX([1]Parametros!M$16:M$20,MATCH($C71,[1]Parametros!$A$16:$A$20,0)))*$K71,N('[1]ATS USA'!V71))&lt;=0,"",MIN(N(INDEX([1]Parametros!M$16:M$20,MATCH($C71,[1]Parametros!$A$16:$A$20,0)))*$K71,N('[1]ATS USA'!V71)))</f>
        <v/>
      </c>
      <c r="X71" s="9" t="str">
        <f>IF(MIN(N(INDEX([1]Parametros!N$16:N$20,MATCH($C71,[1]Parametros!$A$16:$A$20,0)))*$K71,N('[1]ATS USA'!W71))&lt;=0,"",MIN(N(INDEX([1]Parametros!N$16:N$20,MATCH($C71,[1]Parametros!$A$16:$A$20,0)))*$K71,N('[1]ATS USA'!W71)))</f>
        <v/>
      </c>
      <c r="Y71" s="9" t="str">
        <f>IF(MIN(N(INDEX([1]Parametros!O$16:O$20,MATCH($C71,[1]Parametros!$A$16:$A$20,0)))*$K71,N('[1]ATS USA'!X71))&lt;=0,"",MIN(N(INDEX([1]Parametros!O$16:O$20,MATCH($C71,[1]Parametros!$A$16:$A$20,0)))*$K71,N('[1]ATS USA'!X71)))</f>
        <v/>
      </c>
      <c r="Z71" s="9" t="str">
        <f>IF(MIN(N(INDEX([1]Parametros!P$16:P$20,MATCH($C71,[1]Parametros!$A$16:$A$20,0)))*$K71,N('[1]ATS USA'!Y71))&lt;=0,"",MIN(N(INDEX([1]Parametros!P$16:P$20,MATCH($C71,[1]Parametros!$A$16:$A$20,0)))*$K71,N('[1]ATS USA'!Y71)))</f>
        <v/>
      </c>
      <c r="AA71" s="9" t="str">
        <f>IF(MIN(N(INDEX([1]Parametros!Q$16:Q$20,MATCH($C71,[1]Parametros!$A$16:$A$20,0)))*$K71,N('[1]ATS USA'!Z71))&lt;=0,"",MIN(N(INDEX([1]Parametros!Q$16:Q$20,MATCH($C71,[1]Parametros!$A$16:$A$20,0)))*$K71,N('[1]ATS USA'!Z71)))</f>
        <v/>
      </c>
      <c r="AB71" s="9" t="str">
        <f>IF(MIN(N(INDEX([1]Parametros!R$16:R$20,MATCH($C71,[1]Parametros!$A$16:$A$20,0)))*$K71,N('[1]ATS USA'!AA71))&lt;=0,"",MIN(N(INDEX([1]Parametros!R$16:R$20,MATCH($C71,[1]Parametros!$A$16:$A$20,0)))*$K71,N('[1]ATS USA'!AA71)))</f>
        <v/>
      </c>
      <c r="AC71" s="9" t="str">
        <f>IF(MIN(N(INDEX([1]Parametros!S$16:S$20,MATCH($C71,[1]Parametros!$A$16:$A$20,0)))*$K71,N('[1]ATS USA'!AB71))&lt;=0,"",MIN(N(INDEX([1]Parametros!S$16:S$20,MATCH($C71,[1]Parametros!$A$16:$A$20,0)))*$K71,N('[1]ATS USA'!AB71)))</f>
        <v/>
      </c>
      <c r="AD71" s="9" t="str">
        <f>IF(MIN(N(INDEX([1]Parametros!T$16:T$20,MATCH($C71,[1]Parametros!$A$16:$A$20,0)))*$K71,N('[1]ATS USA'!AC71))&lt;=0,"",MIN(N(INDEX([1]Parametros!T$16:T$20,MATCH($C71,[1]Parametros!$A$16:$A$20,0)))*$K71,N('[1]ATS USA'!AC71)))</f>
        <v/>
      </c>
      <c r="AE71" s="9" t="str">
        <f>IF(MIN(N(INDEX([1]Parametros!U$16:U$20,MATCH($C71,[1]Parametros!$A$16:$A$20,0)))*$K71,N('[1]ATS USA'!AD71))&lt;=0,"",MIN(N(INDEX([1]Parametros!U$16:U$20,MATCH($C71,[1]Parametros!$A$16:$A$20,0)))*$K71,N('[1]ATS USA'!AD71)))</f>
        <v/>
      </c>
      <c r="AF71" s="11">
        <f t="shared" si="6"/>
        <v>0</v>
      </c>
      <c r="AG71" s="12" t="str">
        <f t="shared" si="7"/>
        <v>OK</v>
      </c>
      <c r="AH71" s="6">
        <f t="shared" si="8"/>
        <v>0</v>
      </c>
      <c r="AI71" s="9">
        <f t="shared" si="9"/>
        <v>0</v>
      </c>
      <c r="AJ71" s="13">
        <f>IF(LEFT($A71,8)="Tránsito",IFERROR(_xlfn.XLOOKUP(--$E71,'[1]Reserva Territorios'!$C:$C,'[1]Reserva Territorios'!$J:$J),0),0)</f>
        <v>0</v>
      </c>
      <c r="AK71" s="13">
        <f t="shared" si="10"/>
        <v>0</v>
      </c>
    </row>
    <row r="72" spans="1:37" ht="48.95" customHeight="1" x14ac:dyDescent="0.25">
      <c r="A72" s="3" t="s">
        <v>37</v>
      </c>
      <c r="B72" s="4" t="s">
        <v>231</v>
      </c>
      <c r="C72" s="4" t="s">
        <v>272</v>
      </c>
      <c r="D72" s="4" t="s">
        <v>44</v>
      </c>
      <c r="E72" s="4" t="s">
        <v>278</v>
      </c>
      <c r="F72" s="4" t="s">
        <v>279</v>
      </c>
      <c r="G72" s="4" t="s">
        <v>280</v>
      </c>
      <c r="H72" s="5">
        <v>24</v>
      </c>
      <c r="I72" s="6">
        <v>75</v>
      </c>
      <c r="J72" s="7">
        <f>ROUND(I72*[1]Parametros!$B$10,-3)</f>
        <v>268000</v>
      </c>
      <c r="K72" s="8">
        <v>0</v>
      </c>
      <c r="L72" s="10" t="str">
        <f>IF(MIN(N(INDEX([1]Parametros!B$16:B$20,MATCH($C72,[1]Parametros!$A$16:$A$20,0)))*$K72,N('[1]ATS USA'!K72))&lt;=0,"",MIN(N(INDEX([1]Parametros!B$16:B$20,MATCH($C72,[1]Parametros!$A$16:$A$20,0)))*$K72,N('[1]ATS USA'!K72)))</f>
        <v/>
      </c>
      <c r="M72" s="10" t="str">
        <f>IF(MIN(N(INDEX([1]Parametros!C$16:C$20,MATCH($C72,[1]Parametros!$A$16:$A$20,0)))*$K72,N('[1]ATS USA'!L72))&lt;=0,"",MIN(N(INDEX([1]Parametros!C$16:C$20,MATCH($C72,[1]Parametros!$A$16:$A$20,0)))*$K72,N('[1]ATS USA'!L72)))</f>
        <v/>
      </c>
      <c r="N72" s="10" t="str">
        <f>IF(MIN(N(INDEX([1]Parametros!D$16:D$20,MATCH($C72,[1]Parametros!$A$16:$A$20,0)))*$K72,N('[1]ATS USA'!M72))&lt;=0,"",MIN(N(INDEX([1]Parametros!D$16:D$20,MATCH($C72,[1]Parametros!$A$16:$A$20,0)))*$K72,N('[1]ATS USA'!M72)))</f>
        <v/>
      </c>
      <c r="O72" s="10" t="str">
        <f>IF(MIN(N(INDEX([1]Parametros!E$16:E$20,MATCH($C72,[1]Parametros!$A$16:$A$20,0)))*$K72,N('[1]ATS USA'!N72))&lt;=0,"",MIN(N(INDEX([1]Parametros!E$16:E$20,MATCH($C72,[1]Parametros!$A$16:$A$20,0)))*$K72,N('[1]ATS USA'!N72)))</f>
        <v/>
      </c>
      <c r="P72" s="10" t="str">
        <f>IF(MIN(N(INDEX([1]Parametros!F$16:F$20,MATCH($C72,[1]Parametros!$A$16:$A$20,0)))*$K72,N('[1]ATS USA'!O72))&lt;=0,"",MIN(N(INDEX([1]Parametros!F$16:F$20,MATCH($C72,[1]Parametros!$A$16:$A$20,0)))*$K72,N('[1]ATS USA'!O72)))</f>
        <v/>
      </c>
      <c r="Q72" s="9" t="str">
        <f>IF(MIN(N(INDEX([1]Parametros!G$16:G$20,MATCH($C72,[1]Parametros!$A$16:$A$20,0)))*$K72,N('[1]ATS USA'!P72))&lt;=0,"",MIN(N(INDEX([1]Parametros!G$16:G$20,MATCH($C72,[1]Parametros!$A$16:$A$20,0)))*$K72,N('[1]ATS USA'!P72)))</f>
        <v/>
      </c>
      <c r="R72" s="10" t="str">
        <f>IF(MIN(N(INDEX([1]Parametros!H$16:H$20,MATCH($C72,[1]Parametros!$A$16:$A$20,0)))*$K72,N('[1]ATS USA'!Q72))&lt;=0,"",MIN(N(INDEX([1]Parametros!H$16:H$20,MATCH($C72,[1]Parametros!$A$16:$A$20,0)))*$K72,N('[1]ATS USA'!Q72)))</f>
        <v/>
      </c>
      <c r="S72" s="9" t="str">
        <f>IF(MIN(N(INDEX([1]Parametros!I$16:I$20,MATCH($C72,[1]Parametros!$A$16:$A$20,0)))*$K72,N('[1]ATS USA'!R72))&lt;=0,"",MIN(N(INDEX([1]Parametros!I$16:I$20,MATCH($C72,[1]Parametros!$A$16:$A$20,0)))*$K72,N('[1]ATS USA'!R72)))</f>
        <v/>
      </c>
      <c r="T72" s="10" t="str">
        <f>IF(MIN(N(INDEX([1]Parametros!J$16:J$20,MATCH($C72,[1]Parametros!$A$16:$A$20,0)))*$K72,N('[1]ATS USA'!S72))&lt;=0,"",MIN(N(INDEX([1]Parametros!J$16:J$20,MATCH($C72,[1]Parametros!$A$16:$A$20,0)))*$K72,N('[1]ATS USA'!S72)))</f>
        <v/>
      </c>
      <c r="U72" s="9" t="str">
        <f>IF(MIN(N(INDEX([1]Parametros!K$16:K$20,MATCH($C72,[1]Parametros!$A$16:$A$20,0)))*$K72,N('[1]ATS USA'!T72))&lt;=0,"",MIN(N(INDEX([1]Parametros!K$16:K$20,MATCH($C72,[1]Parametros!$A$16:$A$20,0)))*$K72,N('[1]ATS USA'!T72)))</f>
        <v/>
      </c>
      <c r="V72" s="9" t="str">
        <f>IF(MIN(N(INDEX([1]Parametros!L$16:L$20,MATCH($C72,[1]Parametros!$A$16:$A$20,0)))*$K72,N('[1]ATS USA'!U72))&lt;=0,"",MIN(N(INDEX([1]Parametros!L$16:L$20,MATCH($C72,[1]Parametros!$A$16:$A$20,0)))*$K72,N('[1]ATS USA'!U72)))</f>
        <v/>
      </c>
      <c r="W72" s="9" t="str">
        <f>IF(MIN(N(INDEX([1]Parametros!M$16:M$20,MATCH($C72,[1]Parametros!$A$16:$A$20,0)))*$K72,N('[1]ATS USA'!V72))&lt;=0,"",MIN(N(INDEX([1]Parametros!M$16:M$20,MATCH($C72,[1]Parametros!$A$16:$A$20,0)))*$K72,N('[1]ATS USA'!V72)))</f>
        <v/>
      </c>
      <c r="X72" s="9" t="str">
        <f>IF(MIN(N(INDEX([1]Parametros!N$16:N$20,MATCH($C72,[1]Parametros!$A$16:$A$20,0)))*$K72,N('[1]ATS USA'!W72))&lt;=0,"",MIN(N(INDEX([1]Parametros!N$16:N$20,MATCH($C72,[1]Parametros!$A$16:$A$20,0)))*$K72,N('[1]ATS USA'!W72)))</f>
        <v/>
      </c>
      <c r="Y72" s="9" t="str">
        <f>IF(MIN(N(INDEX([1]Parametros!O$16:O$20,MATCH($C72,[1]Parametros!$A$16:$A$20,0)))*$K72,N('[1]ATS USA'!X72))&lt;=0,"",MIN(N(INDEX([1]Parametros!O$16:O$20,MATCH($C72,[1]Parametros!$A$16:$A$20,0)))*$K72,N('[1]ATS USA'!X72)))</f>
        <v/>
      </c>
      <c r="Z72" s="9" t="str">
        <f>IF(MIN(N(INDEX([1]Parametros!P$16:P$20,MATCH($C72,[1]Parametros!$A$16:$A$20,0)))*$K72,N('[1]ATS USA'!Y72))&lt;=0,"",MIN(N(INDEX([1]Parametros!P$16:P$20,MATCH($C72,[1]Parametros!$A$16:$A$20,0)))*$K72,N('[1]ATS USA'!Y72)))</f>
        <v/>
      </c>
      <c r="AA72" s="9" t="str">
        <f>IF(MIN(N(INDEX([1]Parametros!Q$16:Q$20,MATCH($C72,[1]Parametros!$A$16:$A$20,0)))*$K72,N('[1]ATS USA'!Z72))&lt;=0,"",MIN(N(INDEX([1]Parametros!Q$16:Q$20,MATCH($C72,[1]Parametros!$A$16:$A$20,0)))*$K72,N('[1]ATS USA'!Z72)))</f>
        <v/>
      </c>
      <c r="AB72" s="9" t="str">
        <f>IF(MIN(N(INDEX([1]Parametros!R$16:R$20,MATCH($C72,[1]Parametros!$A$16:$A$20,0)))*$K72,N('[1]ATS USA'!AA72))&lt;=0,"",MIN(N(INDEX([1]Parametros!R$16:R$20,MATCH($C72,[1]Parametros!$A$16:$A$20,0)))*$K72,N('[1]ATS USA'!AA72)))</f>
        <v/>
      </c>
      <c r="AC72" s="9" t="str">
        <f>IF(MIN(N(INDEX([1]Parametros!S$16:S$20,MATCH($C72,[1]Parametros!$A$16:$A$20,0)))*$K72,N('[1]ATS USA'!AB72))&lt;=0,"",MIN(N(INDEX([1]Parametros!S$16:S$20,MATCH($C72,[1]Parametros!$A$16:$A$20,0)))*$K72,N('[1]ATS USA'!AB72)))</f>
        <v/>
      </c>
      <c r="AD72" s="9" t="str">
        <f>IF(MIN(N(INDEX([1]Parametros!T$16:T$20,MATCH($C72,[1]Parametros!$A$16:$A$20,0)))*$K72,N('[1]ATS USA'!AC72))&lt;=0,"",MIN(N(INDEX([1]Parametros!T$16:T$20,MATCH($C72,[1]Parametros!$A$16:$A$20,0)))*$K72,N('[1]ATS USA'!AC72)))</f>
        <v/>
      </c>
      <c r="AE72" s="9" t="str">
        <f>IF(MIN(N(INDEX([1]Parametros!U$16:U$20,MATCH($C72,[1]Parametros!$A$16:$A$20,0)))*$K72,N('[1]ATS USA'!AD72))&lt;=0,"",MIN(N(INDEX([1]Parametros!U$16:U$20,MATCH($C72,[1]Parametros!$A$16:$A$20,0)))*$K72,N('[1]ATS USA'!AD72)))</f>
        <v/>
      </c>
      <c r="AF72" s="11">
        <f t="shared" si="6"/>
        <v>0</v>
      </c>
      <c r="AG72" s="12" t="str">
        <f t="shared" si="7"/>
        <v>OK</v>
      </c>
      <c r="AH72" s="6">
        <f t="shared" si="8"/>
        <v>0</v>
      </c>
      <c r="AI72" s="9">
        <f t="shared" si="9"/>
        <v>0</v>
      </c>
      <c r="AJ72" s="13">
        <f>IF(LEFT($A72,8)="Tránsito",IFERROR(_xlfn.XLOOKUP(--$E72,'[1]Reserva Territorios'!$C:$C,'[1]Reserva Territorios'!$J:$J),0),0)</f>
        <v>0</v>
      </c>
      <c r="AK72" s="13">
        <f t="shared" si="10"/>
        <v>0</v>
      </c>
    </row>
    <row r="73" spans="1:37" ht="48.95" customHeight="1" x14ac:dyDescent="0.25">
      <c r="A73" s="3" t="s">
        <v>37</v>
      </c>
      <c r="B73" s="4" t="s">
        <v>231</v>
      </c>
      <c r="C73" s="4" t="s">
        <v>272</v>
      </c>
      <c r="D73" s="4" t="s">
        <v>44</v>
      </c>
      <c r="E73" s="4" t="s">
        <v>281</v>
      </c>
      <c r="F73" s="4" t="s">
        <v>282</v>
      </c>
      <c r="G73" s="4" t="s">
        <v>249</v>
      </c>
      <c r="H73" s="5">
        <v>24</v>
      </c>
      <c r="I73" s="6">
        <v>75</v>
      </c>
      <c r="J73" s="7">
        <f>ROUND(I73*[1]Parametros!$B$10,-3)</f>
        <v>268000</v>
      </c>
      <c r="K73" s="8">
        <v>0</v>
      </c>
      <c r="L73" s="10" t="str">
        <f>IF(MIN(N(INDEX([1]Parametros!B$16:B$20,MATCH($C73,[1]Parametros!$A$16:$A$20,0)))*$K73,N('[1]ATS USA'!K73))&lt;=0,"",MIN(N(INDEX([1]Parametros!B$16:B$20,MATCH($C73,[1]Parametros!$A$16:$A$20,0)))*$K73,N('[1]ATS USA'!K73)))</f>
        <v/>
      </c>
      <c r="M73" s="10" t="str">
        <f>IF(MIN(N(INDEX([1]Parametros!C$16:C$20,MATCH($C73,[1]Parametros!$A$16:$A$20,0)))*$K73,N('[1]ATS USA'!L73))&lt;=0,"",MIN(N(INDEX([1]Parametros!C$16:C$20,MATCH($C73,[1]Parametros!$A$16:$A$20,0)))*$K73,N('[1]ATS USA'!L73)))</f>
        <v/>
      </c>
      <c r="N73" s="10" t="str">
        <f>IF(MIN(N(INDEX([1]Parametros!D$16:D$20,MATCH($C73,[1]Parametros!$A$16:$A$20,0)))*$K73,N('[1]ATS USA'!M73))&lt;=0,"",MIN(N(INDEX([1]Parametros!D$16:D$20,MATCH($C73,[1]Parametros!$A$16:$A$20,0)))*$K73,N('[1]ATS USA'!M73)))</f>
        <v/>
      </c>
      <c r="O73" s="10" t="str">
        <f>IF(MIN(N(INDEX([1]Parametros!E$16:E$20,MATCH($C73,[1]Parametros!$A$16:$A$20,0)))*$K73,N('[1]ATS USA'!N73))&lt;=0,"",MIN(N(INDEX([1]Parametros!E$16:E$20,MATCH($C73,[1]Parametros!$A$16:$A$20,0)))*$K73,N('[1]ATS USA'!N73)))</f>
        <v/>
      </c>
      <c r="P73" s="10" t="str">
        <f>IF(MIN(N(INDEX([1]Parametros!F$16:F$20,MATCH($C73,[1]Parametros!$A$16:$A$20,0)))*$K73,N('[1]ATS USA'!O73))&lt;=0,"",MIN(N(INDEX([1]Parametros!F$16:F$20,MATCH($C73,[1]Parametros!$A$16:$A$20,0)))*$K73,N('[1]ATS USA'!O73)))</f>
        <v/>
      </c>
      <c r="Q73" s="9" t="str">
        <f>IF(MIN(N(INDEX([1]Parametros!G$16:G$20,MATCH($C73,[1]Parametros!$A$16:$A$20,0)))*$K73,N('[1]ATS USA'!P73))&lt;=0,"",MIN(N(INDEX([1]Parametros!G$16:G$20,MATCH($C73,[1]Parametros!$A$16:$A$20,0)))*$K73,N('[1]ATS USA'!P73)))</f>
        <v/>
      </c>
      <c r="R73" s="10" t="str">
        <f>IF(MIN(N(INDEX([1]Parametros!H$16:H$20,MATCH($C73,[1]Parametros!$A$16:$A$20,0)))*$K73,N('[1]ATS USA'!Q73))&lt;=0,"",MIN(N(INDEX([1]Parametros!H$16:H$20,MATCH($C73,[1]Parametros!$A$16:$A$20,0)))*$K73,N('[1]ATS USA'!Q73)))</f>
        <v/>
      </c>
      <c r="S73" s="9" t="str">
        <f>IF(MIN(N(INDEX([1]Parametros!I$16:I$20,MATCH($C73,[1]Parametros!$A$16:$A$20,0)))*$K73,N('[1]ATS USA'!R73))&lt;=0,"",MIN(N(INDEX([1]Parametros!I$16:I$20,MATCH($C73,[1]Parametros!$A$16:$A$20,0)))*$K73,N('[1]ATS USA'!R73)))</f>
        <v/>
      </c>
      <c r="T73" s="10" t="str">
        <f>IF(MIN(N(INDEX([1]Parametros!J$16:J$20,MATCH($C73,[1]Parametros!$A$16:$A$20,0)))*$K73,N('[1]ATS USA'!S73))&lt;=0,"",MIN(N(INDEX([1]Parametros!J$16:J$20,MATCH($C73,[1]Parametros!$A$16:$A$20,0)))*$K73,N('[1]ATS USA'!S73)))</f>
        <v/>
      </c>
      <c r="U73" s="9" t="str">
        <f>IF(MIN(N(INDEX([1]Parametros!K$16:K$20,MATCH($C73,[1]Parametros!$A$16:$A$20,0)))*$K73,N('[1]ATS USA'!T73))&lt;=0,"",MIN(N(INDEX([1]Parametros!K$16:K$20,MATCH($C73,[1]Parametros!$A$16:$A$20,0)))*$K73,N('[1]ATS USA'!T73)))</f>
        <v/>
      </c>
      <c r="V73" s="9" t="str">
        <f>IF(MIN(N(INDEX([1]Parametros!L$16:L$20,MATCH($C73,[1]Parametros!$A$16:$A$20,0)))*$K73,N('[1]ATS USA'!U73))&lt;=0,"",MIN(N(INDEX([1]Parametros!L$16:L$20,MATCH($C73,[1]Parametros!$A$16:$A$20,0)))*$K73,N('[1]ATS USA'!U73)))</f>
        <v/>
      </c>
      <c r="W73" s="9" t="str">
        <f>IF(MIN(N(INDEX([1]Parametros!M$16:M$20,MATCH($C73,[1]Parametros!$A$16:$A$20,0)))*$K73,N('[1]ATS USA'!V73))&lt;=0,"",MIN(N(INDEX([1]Parametros!M$16:M$20,MATCH($C73,[1]Parametros!$A$16:$A$20,0)))*$K73,N('[1]ATS USA'!V73)))</f>
        <v/>
      </c>
      <c r="X73" s="9" t="str">
        <f>IF(MIN(N(INDEX([1]Parametros!N$16:N$20,MATCH($C73,[1]Parametros!$A$16:$A$20,0)))*$K73,N('[1]ATS USA'!W73))&lt;=0,"",MIN(N(INDEX([1]Parametros!N$16:N$20,MATCH($C73,[1]Parametros!$A$16:$A$20,0)))*$K73,N('[1]ATS USA'!W73)))</f>
        <v/>
      </c>
      <c r="Y73" s="9" t="str">
        <f>IF(MIN(N(INDEX([1]Parametros!O$16:O$20,MATCH($C73,[1]Parametros!$A$16:$A$20,0)))*$K73,N('[1]ATS USA'!X73))&lt;=0,"",MIN(N(INDEX([1]Parametros!O$16:O$20,MATCH($C73,[1]Parametros!$A$16:$A$20,0)))*$K73,N('[1]ATS USA'!X73)))</f>
        <v/>
      </c>
      <c r="Z73" s="9" t="str">
        <f>IF(MIN(N(INDEX([1]Parametros!P$16:P$20,MATCH($C73,[1]Parametros!$A$16:$A$20,0)))*$K73,N('[1]ATS USA'!Y73))&lt;=0,"",MIN(N(INDEX([1]Parametros!P$16:P$20,MATCH($C73,[1]Parametros!$A$16:$A$20,0)))*$K73,N('[1]ATS USA'!Y73)))</f>
        <v/>
      </c>
      <c r="AA73" s="9" t="str">
        <f>IF(MIN(N(INDEX([1]Parametros!Q$16:Q$20,MATCH($C73,[1]Parametros!$A$16:$A$20,0)))*$K73,N('[1]ATS USA'!Z73))&lt;=0,"",MIN(N(INDEX([1]Parametros!Q$16:Q$20,MATCH($C73,[1]Parametros!$A$16:$A$20,0)))*$K73,N('[1]ATS USA'!Z73)))</f>
        <v/>
      </c>
      <c r="AB73" s="9" t="str">
        <f>IF(MIN(N(INDEX([1]Parametros!R$16:R$20,MATCH($C73,[1]Parametros!$A$16:$A$20,0)))*$K73,N('[1]ATS USA'!AA73))&lt;=0,"",MIN(N(INDEX([1]Parametros!R$16:R$20,MATCH($C73,[1]Parametros!$A$16:$A$20,0)))*$K73,N('[1]ATS USA'!AA73)))</f>
        <v/>
      </c>
      <c r="AC73" s="9" t="str">
        <f>IF(MIN(N(INDEX([1]Parametros!S$16:S$20,MATCH($C73,[1]Parametros!$A$16:$A$20,0)))*$K73,N('[1]ATS USA'!AB73))&lt;=0,"",MIN(N(INDEX([1]Parametros!S$16:S$20,MATCH($C73,[1]Parametros!$A$16:$A$20,0)))*$K73,N('[1]ATS USA'!AB73)))</f>
        <v/>
      </c>
      <c r="AD73" s="9" t="str">
        <f>IF(MIN(N(INDEX([1]Parametros!T$16:T$20,MATCH($C73,[1]Parametros!$A$16:$A$20,0)))*$K73,N('[1]ATS USA'!AC73))&lt;=0,"",MIN(N(INDEX([1]Parametros!T$16:T$20,MATCH($C73,[1]Parametros!$A$16:$A$20,0)))*$K73,N('[1]ATS USA'!AC73)))</f>
        <v/>
      </c>
      <c r="AE73" s="9" t="str">
        <f>IF(MIN(N(INDEX([1]Parametros!U$16:U$20,MATCH($C73,[1]Parametros!$A$16:$A$20,0)))*$K73,N('[1]ATS USA'!AD73))&lt;=0,"",MIN(N(INDEX([1]Parametros!U$16:U$20,MATCH($C73,[1]Parametros!$A$16:$A$20,0)))*$K73,N('[1]ATS USA'!AD73)))</f>
        <v/>
      </c>
      <c r="AF73" s="11">
        <f t="shared" si="6"/>
        <v>0</v>
      </c>
      <c r="AG73" s="12" t="str">
        <f t="shared" si="7"/>
        <v>OK</v>
      </c>
      <c r="AH73" s="6">
        <f t="shared" si="8"/>
        <v>0</v>
      </c>
      <c r="AI73" s="9">
        <f t="shared" si="9"/>
        <v>0</v>
      </c>
      <c r="AJ73" s="13">
        <f>IF(LEFT($A73,8)="Tránsito",IFERROR(_xlfn.XLOOKUP(--$E73,'[1]Reserva Territorios'!$C:$C,'[1]Reserva Territorios'!$J:$J),0),0)</f>
        <v>0</v>
      </c>
      <c r="AK73" s="13">
        <f t="shared" si="10"/>
        <v>0</v>
      </c>
    </row>
    <row r="74" spans="1:37" ht="48.95" customHeight="1" x14ac:dyDescent="0.25">
      <c r="A74" s="3" t="s">
        <v>37</v>
      </c>
      <c r="B74" s="4" t="s">
        <v>231</v>
      </c>
      <c r="C74" s="4" t="s">
        <v>272</v>
      </c>
      <c r="D74" s="4" t="s">
        <v>57</v>
      </c>
      <c r="E74" s="4" t="s">
        <v>283</v>
      </c>
      <c r="F74" s="4" t="s">
        <v>284</v>
      </c>
      <c r="G74" s="4" t="s">
        <v>67</v>
      </c>
      <c r="H74" s="5">
        <v>19</v>
      </c>
      <c r="I74" s="6">
        <v>67</v>
      </c>
      <c r="J74" s="7">
        <f>ROUND(I74*[1]Parametros!$B$10,-3)</f>
        <v>239000</v>
      </c>
      <c r="K74" s="8">
        <v>0</v>
      </c>
      <c r="L74" s="10" t="str">
        <f>IF(MIN(N(INDEX([1]Parametros!B$16:B$20,MATCH($C74,[1]Parametros!$A$16:$A$20,0)))*$K74,N('[1]ATS USA'!K74))&lt;=0,"",MIN(N(INDEX([1]Parametros!B$16:B$20,MATCH($C74,[1]Parametros!$A$16:$A$20,0)))*$K74,N('[1]ATS USA'!K74)))</f>
        <v/>
      </c>
      <c r="M74" s="10" t="str">
        <f>IF(MIN(N(INDEX([1]Parametros!C$16:C$20,MATCH($C74,[1]Parametros!$A$16:$A$20,0)))*$K74,N('[1]ATS USA'!L74))&lt;=0,"",MIN(N(INDEX([1]Parametros!C$16:C$20,MATCH($C74,[1]Parametros!$A$16:$A$20,0)))*$K74,N('[1]ATS USA'!L74)))</f>
        <v/>
      </c>
      <c r="N74" s="10" t="str">
        <f>IF(MIN(N(INDEX([1]Parametros!D$16:D$20,MATCH($C74,[1]Parametros!$A$16:$A$20,0)))*$K74,N('[1]ATS USA'!M74))&lt;=0,"",MIN(N(INDEX([1]Parametros!D$16:D$20,MATCH($C74,[1]Parametros!$A$16:$A$20,0)))*$K74,N('[1]ATS USA'!M74)))</f>
        <v/>
      </c>
      <c r="O74" s="10" t="str">
        <f>IF(MIN(N(INDEX([1]Parametros!E$16:E$20,MATCH($C74,[1]Parametros!$A$16:$A$20,0)))*$K74,N('[1]ATS USA'!N74))&lt;=0,"",MIN(N(INDEX([1]Parametros!E$16:E$20,MATCH($C74,[1]Parametros!$A$16:$A$20,0)))*$K74,N('[1]ATS USA'!N74)))</f>
        <v/>
      </c>
      <c r="P74" s="10" t="str">
        <f>IF(MIN(N(INDEX([1]Parametros!F$16:F$20,MATCH($C74,[1]Parametros!$A$16:$A$20,0)))*$K74,N('[1]ATS USA'!O74))&lt;=0,"",MIN(N(INDEX([1]Parametros!F$16:F$20,MATCH($C74,[1]Parametros!$A$16:$A$20,0)))*$K74,N('[1]ATS USA'!O74)))</f>
        <v/>
      </c>
      <c r="Q74" s="9" t="str">
        <f>IF(MIN(N(INDEX([1]Parametros!G$16:G$20,MATCH($C74,[1]Parametros!$A$16:$A$20,0)))*$K74,N('[1]ATS USA'!P74))&lt;=0,"",MIN(N(INDEX([1]Parametros!G$16:G$20,MATCH($C74,[1]Parametros!$A$16:$A$20,0)))*$K74,N('[1]ATS USA'!P74)))</f>
        <v/>
      </c>
      <c r="R74" s="10" t="str">
        <f>IF(MIN(N(INDEX([1]Parametros!H$16:H$20,MATCH($C74,[1]Parametros!$A$16:$A$20,0)))*$K74,N('[1]ATS USA'!Q74))&lt;=0,"",MIN(N(INDEX([1]Parametros!H$16:H$20,MATCH($C74,[1]Parametros!$A$16:$A$20,0)))*$K74,N('[1]ATS USA'!Q74)))</f>
        <v/>
      </c>
      <c r="S74" s="9" t="str">
        <f>IF(MIN(N(INDEX([1]Parametros!I$16:I$20,MATCH($C74,[1]Parametros!$A$16:$A$20,0)))*$K74,N('[1]ATS USA'!R74))&lt;=0,"",MIN(N(INDEX([1]Parametros!I$16:I$20,MATCH($C74,[1]Parametros!$A$16:$A$20,0)))*$K74,N('[1]ATS USA'!R74)))</f>
        <v/>
      </c>
      <c r="T74" s="10" t="str">
        <f>IF(MIN(N(INDEX([1]Parametros!J$16:J$20,MATCH($C74,[1]Parametros!$A$16:$A$20,0)))*$K74,N('[1]ATS USA'!S74))&lt;=0,"",MIN(N(INDEX([1]Parametros!J$16:J$20,MATCH($C74,[1]Parametros!$A$16:$A$20,0)))*$K74,N('[1]ATS USA'!S74)))</f>
        <v/>
      </c>
      <c r="U74" s="9" t="str">
        <f>IF(MIN(N(INDEX([1]Parametros!K$16:K$20,MATCH($C74,[1]Parametros!$A$16:$A$20,0)))*$K74,N('[1]ATS USA'!T74))&lt;=0,"",MIN(N(INDEX([1]Parametros!K$16:K$20,MATCH($C74,[1]Parametros!$A$16:$A$20,0)))*$K74,N('[1]ATS USA'!T74)))</f>
        <v/>
      </c>
      <c r="V74" s="9" t="str">
        <f>IF(MIN(N(INDEX([1]Parametros!L$16:L$20,MATCH($C74,[1]Parametros!$A$16:$A$20,0)))*$K74,N('[1]ATS USA'!U74))&lt;=0,"",MIN(N(INDEX([1]Parametros!L$16:L$20,MATCH($C74,[1]Parametros!$A$16:$A$20,0)))*$K74,N('[1]ATS USA'!U74)))</f>
        <v/>
      </c>
      <c r="W74" s="9" t="str">
        <f>IF(MIN(N(INDEX([1]Parametros!M$16:M$20,MATCH($C74,[1]Parametros!$A$16:$A$20,0)))*$K74,N('[1]ATS USA'!V74))&lt;=0,"",MIN(N(INDEX([1]Parametros!M$16:M$20,MATCH($C74,[1]Parametros!$A$16:$A$20,0)))*$K74,N('[1]ATS USA'!V74)))</f>
        <v/>
      </c>
      <c r="X74" s="9" t="str">
        <f>IF(MIN(N(INDEX([1]Parametros!N$16:N$20,MATCH($C74,[1]Parametros!$A$16:$A$20,0)))*$K74,N('[1]ATS USA'!W74))&lt;=0,"",MIN(N(INDEX([1]Parametros!N$16:N$20,MATCH($C74,[1]Parametros!$A$16:$A$20,0)))*$K74,N('[1]ATS USA'!W74)))</f>
        <v/>
      </c>
      <c r="Y74" s="9" t="str">
        <f>IF(MIN(N(INDEX([1]Parametros!O$16:O$20,MATCH($C74,[1]Parametros!$A$16:$A$20,0)))*$K74,N('[1]ATS USA'!X74))&lt;=0,"",MIN(N(INDEX([1]Parametros!O$16:O$20,MATCH($C74,[1]Parametros!$A$16:$A$20,0)))*$K74,N('[1]ATS USA'!X74)))</f>
        <v/>
      </c>
      <c r="Z74" s="9" t="str">
        <f>IF(MIN(N(INDEX([1]Parametros!P$16:P$20,MATCH($C74,[1]Parametros!$A$16:$A$20,0)))*$K74,N('[1]ATS USA'!Y74))&lt;=0,"",MIN(N(INDEX([1]Parametros!P$16:P$20,MATCH($C74,[1]Parametros!$A$16:$A$20,0)))*$K74,N('[1]ATS USA'!Y74)))</f>
        <v/>
      </c>
      <c r="AA74" s="9" t="str">
        <f>IF(MIN(N(INDEX([1]Parametros!Q$16:Q$20,MATCH($C74,[1]Parametros!$A$16:$A$20,0)))*$K74,N('[1]ATS USA'!Z74))&lt;=0,"",MIN(N(INDEX([1]Parametros!Q$16:Q$20,MATCH($C74,[1]Parametros!$A$16:$A$20,0)))*$K74,N('[1]ATS USA'!Z74)))</f>
        <v/>
      </c>
      <c r="AB74" s="9" t="str">
        <f>IF(MIN(N(INDEX([1]Parametros!R$16:R$20,MATCH($C74,[1]Parametros!$A$16:$A$20,0)))*$K74,N('[1]ATS USA'!AA74))&lt;=0,"",MIN(N(INDEX([1]Parametros!R$16:R$20,MATCH($C74,[1]Parametros!$A$16:$A$20,0)))*$K74,N('[1]ATS USA'!AA74)))</f>
        <v/>
      </c>
      <c r="AC74" s="9" t="str">
        <f>IF(MIN(N(INDEX([1]Parametros!S$16:S$20,MATCH($C74,[1]Parametros!$A$16:$A$20,0)))*$K74,N('[1]ATS USA'!AB74))&lt;=0,"",MIN(N(INDEX([1]Parametros!S$16:S$20,MATCH($C74,[1]Parametros!$A$16:$A$20,0)))*$K74,N('[1]ATS USA'!AB74)))</f>
        <v/>
      </c>
      <c r="AD74" s="9" t="str">
        <f>IF(MIN(N(INDEX([1]Parametros!T$16:T$20,MATCH($C74,[1]Parametros!$A$16:$A$20,0)))*$K74,N('[1]ATS USA'!AC74))&lt;=0,"",MIN(N(INDEX([1]Parametros!T$16:T$20,MATCH($C74,[1]Parametros!$A$16:$A$20,0)))*$K74,N('[1]ATS USA'!AC74)))</f>
        <v/>
      </c>
      <c r="AE74" s="9" t="str">
        <f>IF(MIN(N(INDEX([1]Parametros!U$16:U$20,MATCH($C74,[1]Parametros!$A$16:$A$20,0)))*$K74,N('[1]ATS USA'!AD74))&lt;=0,"",MIN(N(INDEX([1]Parametros!U$16:U$20,MATCH($C74,[1]Parametros!$A$16:$A$20,0)))*$K74,N('[1]ATS USA'!AD74)))</f>
        <v/>
      </c>
      <c r="AF74" s="11">
        <f t="shared" si="6"/>
        <v>0</v>
      </c>
      <c r="AG74" s="12" t="str">
        <f t="shared" si="7"/>
        <v>OK</v>
      </c>
      <c r="AH74" s="6">
        <f t="shared" si="8"/>
        <v>0</v>
      </c>
      <c r="AI74" s="9">
        <f t="shared" si="9"/>
        <v>0</v>
      </c>
      <c r="AJ74" s="13">
        <f>IF(LEFT($A74,8)="Tránsito",IFERROR(_xlfn.XLOOKUP(--$E74,'[1]Reserva Territorios'!$C:$C,'[1]Reserva Territorios'!$J:$J),0),0)</f>
        <v>0</v>
      </c>
      <c r="AK74" s="13">
        <f t="shared" si="10"/>
        <v>0</v>
      </c>
    </row>
    <row r="75" spans="1:37" ht="48.95" hidden="1" customHeight="1" x14ac:dyDescent="0.25">
      <c r="A75" s="3" t="s">
        <v>37</v>
      </c>
      <c r="B75" s="4" t="s">
        <v>231</v>
      </c>
      <c r="C75" s="4" t="s">
        <v>272</v>
      </c>
      <c r="D75" s="4" t="s">
        <v>285</v>
      </c>
      <c r="E75" s="4" t="s">
        <v>286</v>
      </c>
      <c r="F75" s="4" t="s">
        <v>287</v>
      </c>
      <c r="G75" s="4" t="s">
        <v>288</v>
      </c>
      <c r="H75" s="5">
        <v>19.5</v>
      </c>
      <c r="I75" s="6">
        <v>60</v>
      </c>
      <c r="J75" s="7">
        <f>ROUND(I75*[1]Parametros!$B$10,-3)</f>
        <v>214000</v>
      </c>
      <c r="K75" s="8">
        <v>0</v>
      </c>
      <c r="L75" s="9" t="str">
        <f>IF(MIN(N(INDEX([1]Parametros!B$16:B$20,MATCH($C75,[1]Parametros!$A$16:$A$20,0)))*$K75,N('[1]ATS USA'!K75))&lt;=0,"",MIN(N(INDEX([1]Parametros!B$16:B$20,MATCH($C75,[1]Parametros!$A$16:$A$20,0)))*$K75,N('[1]ATS USA'!K75)))</f>
        <v/>
      </c>
      <c r="M75" s="10" t="str">
        <f>IF(MIN(N(INDEX([1]Parametros!C$16:C$20,MATCH($C75,[1]Parametros!$A$16:$A$20,0)))*$K75,N('[1]ATS USA'!L75))&lt;=0,"",MIN(N(INDEX([1]Parametros!C$16:C$20,MATCH($C75,[1]Parametros!$A$16:$A$20,0)))*$K75,N('[1]ATS USA'!L75)))</f>
        <v/>
      </c>
      <c r="N75" s="10" t="str">
        <f>IF(MIN(N(INDEX([1]Parametros!D$16:D$20,MATCH($C75,[1]Parametros!$A$16:$A$20,0)))*$K75,N('[1]ATS USA'!M75))&lt;=0,"",MIN(N(INDEX([1]Parametros!D$16:D$20,MATCH($C75,[1]Parametros!$A$16:$A$20,0)))*$K75,N('[1]ATS USA'!M75)))</f>
        <v/>
      </c>
      <c r="O75" s="10" t="str">
        <f>IF(MIN(N(INDEX([1]Parametros!E$16:E$20,MATCH($C75,[1]Parametros!$A$16:$A$20,0)))*$K75,N('[1]ATS USA'!N75))&lt;=0,"",MIN(N(INDEX([1]Parametros!E$16:E$20,MATCH($C75,[1]Parametros!$A$16:$A$20,0)))*$K75,N('[1]ATS USA'!N75)))</f>
        <v/>
      </c>
      <c r="P75" s="10" t="str">
        <f>IF(MIN(N(INDEX([1]Parametros!F$16:F$20,MATCH($C75,[1]Parametros!$A$16:$A$20,0)))*$K75,N('[1]ATS USA'!O75))&lt;=0,"",MIN(N(INDEX([1]Parametros!F$16:F$20,MATCH($C75,[1]Parametros!$A$16:$A$20,0)))*$K75,N('[1]ATS USA'!O75)))</f>
        <v/>
      </c>
      <c r="Q75" s="9" t="str">
        <f>IF(MIN(N(INDEX([1]Parametros!G$16:G$20,MATCH($C75,[1]Parametros!$A$16:$A$20,0)))*$K75,N('[1]ATS USA'!P75))&lt;=0,"",MIN(N(INDEX([1]Parametros!G$16:G$20,MATCH($C75,[1]Parametros!$A$16:$A$20,0)))*$K75,N('[1]ATS USA'!P75)))</f>
        <v/>
      </c>
      <c r="R75" s="10" t="str">
        <f>IF(MIN(N(INDEX([1]Parametros!H$16:H$20,MATCH($C75,[1]Parametros!$A$16:$A$20,0)))*$K75,N('[1]ATS USA'!Q75))&lt;=0,"",MIN(N(INDEX([1]Parametros!H$16:H$20,MATCH($C75,[1]Parametros!$A$16:$A$20,0)))*$K75,N('[1]ATS USA'!Q75)))</f>
        <v/>
      </c>
      <c r="S75" s="9" t="str">
        <f>IF(MIN(N(INDEX([1]Parametros!I$16:I$20,MATCH($C75,[1]Parametros!$A$16:$A$20,0)))*$K75,N('[1]ATS USA'!R75))&lt;=0,"",MIN(N(INDEX([1]Parametros!I$16:I$20,MATCH($C75,[1]Parametros!$A$16:$A$20,0)))*$K75,N('[1]ATS USA'!R75)))</f>
        <v/>
      </c>
      <c r="T75" s="10" t="str">
        <f>IF(MIN(N(INDEX([1]Parametros!J$16:J$20,MATCH($C75,[1]Parametros!$A$16:$A$20,0)))*$K75,N('[1]ATS USA'!S75))&lt;=0,"",MIN(N(INDEX([1]Parametros!J$16:J$20,MATCH($C75,[1]Parametros!$A$16:$A$20,0)))*$K75,N('[1]ATS USA'!S75)))</f>
        <v/>
      </c>
      <c r="U75" s="9" t="str">
        <f>IF(MIN(N(INDEX([1]Parametros!K$16:K$20,MATCH($C75,[1]Parametros!$A$16:$A$20,0)))*$K75,N('[1]ATS USA'!T75))&lt;=0,"",MIN(N(INDEX([1]Parametros!K$16:K$20,MATCH($C75,[1]Parametros!$A$16:$A$20,0)))*$K75,N('[1]ATS USA'!T75)))</f>
        <v/>
      </c>
      <c r="V75" s="9" t="str">
        <f>IF(MIN(N(INDEX([1]Parametros!L$16:L$20,MATCH($C75,[1]Parametros!$A$16:$A$20,0)))*$K75,N('[1]ATS USA'!U75))&lt;=0,"",MIN(N(INDEX([1]Parametros!L$16:L$20,MATCH($C75,[1]Parametros!$A$16:$A$20,0)))*$K75,N('[1]ATS USA'!U75)))</f>
        <v/>
      </c>
      <c r="W75" s="9" t="str">
        <f>IF(MIN(N(INDEX([1]Parametros!M$16:M$20,MATCH($C75,[1]Parametros!$A$16:$A$20,0)))*$K75,N('[1]ATS USA'!V75))&lt;=0,"",MIN(N(INDEX([1]Parametros!M$16:M$20,MATCH($C75,[1]Parametros!$A$16:$A$20,0)))*$K75,N('[1]ATS USA'!V75)))</f>
        <v/>
      </c>
      <c r="X75" s="9" t="str">
        <f>IF(MIN(N(INDEX([1]Parametros!N$16:N$20,MATCH($C75,[1]Parametros!$A$16:$A$20,0)))*$K75,N('[1]ATS USA'!W75))&lt;=0,"",MIN(N(INDEX([1]Parametros!N$16:N$20,MATCH($C75,[1]Parametros!$A$16:$A$20,0)))*$K75,N('[1]ATS USA'!W75)))</f>
        <v/>
      </c>
      <c r="Y75" s="9" t="str">
        <f>IF(MIN(N(INDEX([1]Parametros!O$16:O$20,MATCH($C75,[1]Parametros!$A$16:$A$20,0)))*$K75,N('[1]ATS USA'!X75))&lt;=0,"",MIN(N(INDEX([1]Parametros!O$16:O$20,MATCH($C75,[1]Parametros!$A$16:$A$20,0)))*$K75,N('[1]ATS USA'!X75)))</f>
        <v/>
      </c>
      <c r="Z75" s="9" t="str">
        <f>IF(MIN(N(INDEX([1]Parametros!P$16:P$20,MATCH($C75,[1]Parametros!$A$16:$A$20,0)))*$K75,N('[1]ATS USA'!Y75))&lt;=0,"",MIN(N(INDEX([1]Parametros!P$16:P$20,MATCH($C75,[1]Parametros!$A$16:$A$20,0)))*$K75,N('[1]ATS USA'!Y75)))</f>
        <v/>
      </c>
      <c r="AA75" s="9" t="str">
        <f>IF(MIN(N(INDEX([1]Parametros!Q$16:Q$20,MATCH($C75,[1]Parametros!$A$16:$A$20,0)))*$K75,N('[1]ATS USA'!Z75))&lt;=0,"",MIN(N(INDEX([1]Parametros!Q$16:Q$20,MATCH($C75,[1]Parametros!$A$16:$A$20,0)))*$K75,N('[1]ATS USA'!Z75)))</f>
        <v/>
      </c>
      <c r="AB75" s="9" t="str">
        <f>IF(MIN(N(INDEX([1]Parametros!R$16:R$20,MATCH($C75,[1]Parametros!$A$16:$A$20,0)))*$K75,N('[1]ATS USA'!AA75))&lt;=0,"",MIN(N(INDEX([1]Parametros!R$16:R$20,MATCH($C75,[1]Parametros!$A$16:$A$20,0)))*$K75,N('[1]ATS USA'!AA75)))</f>
        <v/>
      </c>
      <c r="AC75" s="9" t="str">
        <f>IF(MIN(N(INDEX([1]Parametros!S$16:S$20,MATCH($C75,[1]Parametros!$A$16:$A$20,0)))*$K75,N('[1]ATS USA'!AB75))&lt;=0,"",MIN(N(INDEX([1]Parametros!S$16:S$20,MATCH($C75,[1]Parametros!$A$16:$A$20,0)))*$K75,N('[1]ATS USA'!AB75)))</f>
        <v/>
      </c>
      <c r="AD75" s="9" t="str">
        <f>IF(MIN(N(INDEX([1]Parametros!T$16:T$20,MATCH($C75,[1]Parametros!$A$16:$A$20,0)))*$K75,N('[1]ATS USA'!AC75))&lt;=0,"",MIN(N(INDEX([1]Parametros!T$16:T$20,MATCH($C75,[1]Parametros!$A$16:$A$20,0)))*$K75,N('[1]ATS USA'!AC75)))</f>
        <v/>
      </c>
      <c r="AE75" s="9" t="str">
        <f>IF(MIN(N(INDEX([1]Parametros!U$16:U$20,MATCH($C75,[1]Parametros!$A$16:$A$20,0)))*$K75,N('[1]ATS USA'!AD75))&lt;=0,"",MIN(N(INDEX([1]Parametros!U$16:U$20,MATCH($C75,[1]Parametros!$A$16:$A$20,0)))*$K75,N('[1]ATS USA'!AD75)))</f>
        <v/>
      </c>
      <c r="AF75" s="11">
        <f t="shared" si="6"/>
        <v>0</v>
      </c>
      <c r="AG75" s="12" t="str">
        <f t="shared" si="7"/>
        <v>OK</v>
      </c>
      <c r="AH75" s="6">
        <f t="shared" si="8"/>
        <v>0</v>
      </c>
      <c r="AI75" s="9">
        <f t="shared" si="9"/>
        <v>0</v>
      </c>
      <c r="AJ75" s="13">
        <f>IF(LEFT($A75,8)="Tránsito",IFERROR(_xlfn.XLOOKUP(--$E75,'[1]Reserva Territorios'!$C:$C,'[1]Reserva Territorios'!$J:$J),0),0)</f>
        <v>0</v>
      </c>
      <c r="AK75" s="13">
        <f t="shared" si="10"/>
        <v>0</v>
      </c>
    </row>
    <row r="76" spans="1:37" ht="48.95" customHeight="1" x14ac:dyDescent="0.25">
      <c r="A76" s="3" t="s">
        <v>37</v>
      </c>
      <c r="B76" s="4" t="s">
        <v>231</v>
      </c>
      <c r="C76" s="4" t="s">
        <v>272</v>
      </c>
      <c r="D76" s="4" t="s">
        <v>285</v>
      </c>
      <c r="E76" s="4" t="s">
        <v>289</v>
      </c>
      <c r="F76" s="4" t="s">
        <v>290</v>
      </c>
      <c r="G76" s="4" t="s">
        <v>291</v>
      </c>
      <c r="H76" s="5">
        <v>19.5</v>
      </c>
      <c r="I76" s="6">
        <v>60</v>
      </c>
      <c r="J76" s="7">
        <f>ROUND(I76*[1]Parametros!$B$10,-3)</f>
        <v>214000</v>
      </c>
      <c r="K76" s="8">
        <v>0</v>
      </c>
      <c r="L76" s="10" t="str">
        <f>IF(MIN(N(INDEX([1]Parametros!B$16:B$20,MATCH($C76,[1]Parametros!$A$16:$A$20,0)))*$K76,N('[1]ATS USA'!K76))&lt;=0,"",MIN(N(INDEX([1]Parametros!B$16:B$20,MATCH($C76,[1]Parametros!$A$16:$A$20,0)))*$K76,N('[1]ATS USA'!K76)))</f>
        <v/>
      </c>
      <c r="M76" s="10" t="str">
        <f>IF(MIN(N(INDEX([1]Parametros!C$16:C$20,MATCH($C76,[1]Parametros!$A$16:$A$20,0)))*$K76,N('[1]ATS USA'!L76))&lt;=0,"",MIN(N(INDEX([1]Parametros!C$16:C$20,MATCH($C76,[1]Parametros!$A$16:$A$20,0)))*$K76,N('[1]ATS USA'!L76)))</f>
        <v/>
      </c>
      <c r="N76" s="10" t="str">
        <f>IF(MIN(N(INDEX([1]Parametros!D$16:D$20,MATCH($C76,[1]Parametros!$A$16:$A$20,0)))*$K76,N('[1]ATS USA'!M76))&lt;=0,"",MIN(N(INDEX([1]Parametros!D$16:D$20,MATCH($C76,[1]Parametros!$A$16:$A$20,0)))*$K76,N('[1]ATS USA'!M76)))</f>
        <v/>
      </c>
      <c r="O76" s="10" t="str">
        <f>IF(MIN(N(INDEX([1]Parametros!E$16:E$20,MATCH($C76,[1]Parametros!$A$16:$A$20,0)))*$K76,N('[1]ATS USA'!N76))&lt;=0,"",MIN(N(INDEX([1]Parametros!E$16:E$20,MATCH($C76,[1]Parametros!$A$16:$A$20,0)))*$K76,N('[1]ATS USA'!N76)))</f>
        <v/>
      </c>
      <c r="P76" s="10" t="str">
        <f>IF(MIN(N(INDEX([1]Parametros!F$16:F$20,MATCH($C76,[1]Parametros!$A$16:$A$20,0)))*$K76,N('[1]ATS USA'!O76))&lt;=0,"",MIN(N(INDEX([1]Parametros!F$16:F$20,MATCH($C76,[1]Parametros!$A$16:$A$20,0)))*$K76,N('[1]ATS USA'!O76)))</f>
        <v/>
      </c>
      <c r="Q76" s="9" t="str">
        <f>IF(MIN(N(INDEX([1]Parametros!G$16:G$20,MATCH($C76,[1]Parametros!$A$16:$A$20,0)))*$K76,N('[1]ATS USA'!P76))&lt;=0,"",MIN(N(INDEX([1]Parametros!G$16:G$20,MATCH($C76,[1]Parametros!$A$16:$A$20,0)))*$K76,N('[1]ATS USA'!P76)))</f>
        <v/>
      </c>
      <c r="R76" s="10" t="str">
        <f>IF(MIN(N(INDEX([1]Parametros!H$16:H$20,MATCH($C76,[1]Parametros!$A$16:$A$20,0)))*$K76,N('[1]ATS USA'!Q76))&lt;=0,"",MIN(N(INDEX([1]Parametros!H$16:H$20,MATCH($C76,[1]Parametros!$A$16:$A$20,0)))*$K76,N('[1]ATS USA'!Q76)))</f>
        <v/>
      </c>
      <c r="S76" s="9" t="str">
        <f>IF(MIN(N(INDEX([1]Parametros!I$16:I$20,MATCH($C76,[1]Parametros!$A$16:$A$20,0)))*$K76,N('[1]ATS USA'!R76))&lt;=0,"",MIN(N(INDEX([1]Parametros!I$16:I$20,MATCH($C76,[1]Parametros!$A$16:$A$20,0)))*$K76,N('[1]ATS USA'!R76)))</f>
        <v/>
      </c>
      <c r="T76" s="10" t="str">
        <f>IF(MIN(N(INDEX([1]Parametros!J$16:J$20,MATCH($C76,[1]Parametros!$A$16:$A$20,0)))*$K76,N('[1]ATS USA'!S76))&lt;=0,"",MIN(N(INDEX([1]Parametros!J$16:J$20,MATCH($C76,[1]Parametros!$A$16:$A$20,0)))*$K76,N('[1]ATS USA'!S76)))</f>
        <v/>
      </c>
      <c r="U76" s="9" t="str">
        <f>IF(MIN(N(INDEX([1]Parametros!K$16:K$20,MATCH($C76,[1]Parametros!$A$16:$A$20,0)))*$K76,N('[1]ATS USA'!T76))&lt;=0,"",MIN(N(INDEX([1]Parametros!K$16:K$20,MATCH($C76,[1]Parametros!$A$16:$A$20,0)))*$K76,N('[1]ATS USA'!T76)))</f>
        <v/>
      </c>
      <c r="V76" s="9" t="str">
        <f>IF(MIN(N(INDEX([1]Parametros!L$16:L$20,MATCH($C76,[1]Parametros!$A$16:$A$20,0)))*$K76,N('[1]ATS USA'!U76))&lt;=0,"",MIN(N(INDEX([1]Parametros!L$16:L$20,MATCH($C76,[1]Parametros!$A$16:$A$20,0)))*$K76,N('[1]ATS USA'!U76)))</f>
        <v/>
      </c>
      <c r="W76" s="9" t="str">
        <f>IF(MIN(N(INDEX([1]Parametros!M$16:M$20,MATCH($C76,[1]Parametros!$A$16:$A$20,0)))*$K76,N('[1]ATS USA'!V76))&lt;=0,"",MIN(N(INDEX([1]Parametros!M$16:M$20,MATCH($C76,[1]Parametros!$A$16:$A$20,0)))*$K76,N('[1]ATS USA'!V76)))</f>
        <v/>
      </c>
      <c r="X76" s="9" t="str">
        <f>IF(MIN(N(INDEX([1]Parametros!N$16:N$20,MATCH($C76,[1]Parametros!$A$16:$A$20,0)))*$K76,N('[1]ATS USA'!W76))&lt;=0,"",MIN(N(INDEX([1]Parametros!N$16:N$20,MATCH($C76,[1]Parametros!$A$16:$A$20,0)))*$K76,N('[1]ATS USA'!W76)))</f>
        <v/>
      </c>
      <c r="Y76" s="9" t="str">
        <f>IF(MIN(N(INDEX([1]Parametros!O$16:O$20,MATCH($C76,[1]Parametros!$A$16:$A$20,0)))*$K76,N('[1]ATS USA'!X76))&lt;=0,"",MIN(N(INDEX([1]Parametros!O$16:O$20,MATCH($C76,[1]Parametros!$A$16:$A$20,0)))*$K76,N('[1]ATS USA'!X76)))</f>
        <v/>
      </c>
      <c r="Z76" s="9" t="str">
        <f>IF(MIN(N(INDEX([1]Parametros!P$16:P$20,MATCH($C76,[1]Parametros!$A$16:$A$20,0)))*$K76,N('[1]ATS USA'!Y76))&lt;=0,"",MIN(N(INDEX([1]Parametros!P$16:P$20,MATCH($C76,[1]Parametros!$A$16:$A$20,0)))*$K76,N('[1]ATS USA'!Y76)))</f>
        <v/>
      </c>
      <c r="AA76" s="9" t="str">
        <f>IF(MIN(N(INDEX([1]Parametros!Q$16:Q$20,MATCH($C76,[1]Parametros!$A$16:$A$20,0)))*$K76,N('[1]ATS USA'!Z76))&lt;=0,"",MIN(N(INDEX([1]Parametros!Q$16:Q$20,MATCH($C76,[1]Parametros!$A$16:$A$20,0)))*$K76,N('[1]ATS USA'!Z76)))</f>
        <v/>
      </c>
      <c r="AB76" s="9" t="str">
        <f>IF(MIN(N(INDEX([1]Parametros!R$16:R$20,MATCH($C76,[1]Parametros!$A$16:$A$20,0)))*$K76,N('[1]ATS USA'!AA76))&lt;=0,"",MIN(N(INDEX([1]Parametros!R$16:R$20,MATCH($C76,[1]Parametros!$A$16:$A$20,0)))*$K76,N('[1]ATS USA'!AA76)))</f>
        <v/>
      </c>
      <c r="AC76" s="9" t="str">
        <f>IF(MIN(N(INDEX([1]Parametros!S$16:S$20,MATCH($C76,[1]Parametros!$A$16:$A$20,0)))*$K76,N('[1]ATS USA'!AB76))&lt;=0,"",MIN(N(INDEX([1]Parametros!S$16:S$20,MATCH($C76,[1]Parametros!$A$16:$A$20,0)))*$K76,N('[1]ATS USA'!AB76)))</f>
        <v/>
      </c>
      <c r="AD76" s="9" t="str">
        <f>IF(MIN(N(INDEX([1]Parametros!T$16:T$20,MATCH($C76,[1]Parametros!$A$16:$A$20,0)))*$K76,N('[1]ATS USA'!AC76))&lt;=0,"",MIN(N(INDEX([1]Parametros!T$16:T$20,MATCH($C76,[1]Parametros!$A$16:$A$20,0)))*$K76,N('[1]ATS USA'!AC76)))</f>
        <v/>
      </c>
      <c r="AE76" s="9" t="str">
        <f>IF(MIN(N(INDEX([1]Parametros!U$16:U$20,MATCH($C76,[1]Parametros!$A$16:$A$20,0)))*$K76,N('[1]ATS USA'!AD76))&lt;=0,"",MIN(N(INDEX([1]Parametros!U$16:U$20,MATCH($C76,[1]Parametros!$A$16:$A$20,0)))*$K76,N('[1]ATS USA'!AD76)))</f>
        <v/>
      </c>
      <c r="AF76" s="11">
        <f t="shared" si="6"/>
        <v>0</v>
      </c>
      <c r="AG76" s="12" t="str">
        <f t="shared" si="7"/>
        <v>OK</v>
      </c>
      <c r="AH76" s="6">
        <f t="shared" si="8"/>
        <v>0</v>
      </c>
      <c r="AI76" s="9">
        <f t="shared" si="9"/>
        <v>0</v>
      </c>
      <c r="AJ76" s="13">
        <f>IF(LEFT($A76,8)="Tránsito",IFERROR(_xlfn.XLOOKUP(--$E76,'[1]Reserva Territorios'!$C:$C,'[1]Reserva Territorios'!$J:$J),0),0)</f>
        <v>0</v>
      </c>
      <c r="AK76" s="13">
        <f t="shared" si="10"/>
        <v>0</v>
      </c>
    </row>
    <row r="77" spans="1:37" ht="48.95" hidden="1" customHeight="1" x14ac:dyDescent="0.25">
      <c r="A77" s="3" t="s">
        <v>37</v>
      </c>
      <c r="B77" s="4" t="s">
        <v>231</v>
      </c>
      <c r="C77" s="4" t="s">
        <v>272</v>
      </c>
      <c r="D77" s="4" t="s">
        <v>292</v>
      </c>
      <c r="E77" s="4" t="s">
        <v>293</v>
      </c>
      <c r="F77" s="4" t="s">
        <v>294</v>
      </c>
      <c r="G77" s="4" t="s">
        <v>295</v>
      </c>
      <c r="H77" s="5">
        <v>19.5</v>
      </c>
      <c r="I77" s="6">
        <v>60</v>
      </c>
      <c r="J77" s="7">
        <f>ROUND(I77*[1]Parametros!$B$10,-3)</f>
        <v>214000</v>
      </c>
      <c r="K77" s="8">
        <v>0</v>
      </c>
      <c r="L77" s="9" t="str">
        <f>IF(MIN(N(INDEX([1]Parametros!B$16:B$20,MATCH($C77,[1]Parametros!$A$16:$A$20,0)))*$K77,N('[1]ATS USA'!K77))&lt;=0,"",MIN(N(INDEX([1]Parametros!B$16:B$20,MATCH($C77,[1]Parametros!$A$16:$A$20,0)))*$K77,N('[1]ATS USA'!K77)))</f>
        <v/>
      </c>
      <c r="M77" s="9" t="str">
        <f>IF(MIN(N(INDEX([1]Parametros!C$16:C$20,MATCH($C77,[1]Parametros!$A$16:$A$20,0)))*$K77,N('[1]ATS USA'!L77))&lt;=0,"",MIN(N(INDEX([1]Parametros!C$16:C$20,MATCH($C77,[1]Parametros!$A$16:$A$20,0)))*$K77,N('[1]ATS USA'!L77)))</f>
        <v/>
      </c>
      <c r="N77" s="10" t="str">
        <f>IF(MIN(N(INDEX([1]Parametros!D$16:D$20,MATCH($C77,[1]Parametros!$A$16:$A$20,0)))*$K77,N('[1]ATS USA'!M77))&lt;=0,"",MIN(N(INDEX([1]Parametros!D$16:D$20,MATCH($C77,[1]Parametros!$A$16:$A$20,0)))*$K77,N('[1]ATS USA'!M77)))</f>
        <v/>
      </c>
      <c r="O77" s="10" t="str">
        <f>IF(MIN(N(INDEX([1]Parametros!E$16:E$20,MATCH($C77,[1]Parametros!$A$16:$A$20,0)))*$K77,N('[1]ATS USA'!N77))&lt;=0,"",MIN(N(INDEX([1]Parametros!E$16:E$20,MATCH($C77,[1]Parametros!$A$16:$A$20,0)))*$K77,N('[1]ATS USA'!N77)))</f>
        <v/>
      </c>
      <c r="P77" s="10" t="str">
        <f>IF(MIN(N(INDEX([1]Parametros!F$16:F$20,MATCH($C77,[1]Parametros!$A$16:$A$20,0)))*$K77,N('[1]ATS USA'!O77))&lt;=0,"",MIN(N(INDEX([1]Parametros!F$16:F$20,MATCH($C77,[1]Parametros!$A$16:$A$20,0)))*$K77,N('[1]ATS USA'!O77)))</f>
        <v/>
      </c>
      <c r="Q77" s="9" t="str">
        <f>IF(MIN(N(INDEX([1]Parametros!G$16:G$20,MATCH($C77,[1]Parametros!$A$16:$A$20,0)))*$K77,N('[1]ATS USA'!P77))&lt;=0,"",MIN(N(INDEX([1]Parametros!G$16:G$20,MATCH($C77,[1]Parametros!$A$16:$A$20,0)))*$K77,N('[1]ATS USA'!P77)))</f>
        <v/>
      </c>
      <c r="R77" s="10" t="str">
        <f>IF(MIN(N(INDEX([1]Parametros!H$16:H$20,MATCH($C77,[1]Parametros!$A$16:$A$20,0)))*$K77,N('[1]ATS USA'!Q77))&lt;=0,"",MIN(N(INDEX([1]Parametros!H$16:H$20,MATCH($C77,[1]Parametros!$A$16:$A$20,0)))*$K77,N('[1]ATS USA'!Q77)))</f>
        <v/>
      </c>
      <c r="S77" s="9" t="str">
        <f>IF(MIN(N(INDEX([1]Parametros!I$16:I$20,MATCH($C77,[1]Parametros!$A$16:$A$20,0)))*$K77,N('[1]ATS USA'!R77))&lt;=0,"",MIN(N(INDEX([1]Parametros!I$16:I$20,MATCH($C77,[1]Parametros!$A$16:$A$20,0)))*$K77,N('[1]ATS USA'!R77)))</f>
        <v/>
      </c>
      <c r="T77" s="10" t="str">
        <f>IF(MIN(N(INDEX([1]Parametros!J$16:J$20,MATCH($C77,[1]Parametros!$A$16:$A$20,0)))*$K77,N('[1]ATS USA'!S77))&lt;=0,"",MIN(N(INDEX([1]Parametros!J$16:J$20,MATCH($C77,[1]Parametros!$A$16:$A$20,0)))*$K77,N('[1]ATS USA'!S77)))</f>
        <v/>
      </c>
      <c r="U77" s="9" t="str">
        <f>IF(MIN(N(INDEX([1]Parametros!K$16:K$20,MATCH($C77,[1]Parametros!$A$16:$A$20,0)))*$K77,N('[1]ATS USA'!T77))&lt;=0,"",MIN(N(INDEX([1]Parametros!K$16:K$20,MATCH($C77,[1]Parametros!$A$16:$A$20,0)))*$K77,N('[1]ATS USA'!T77)))</f>
        <v/>
      </c>
      <c r="V77" s="9" t="str">
        <f>IF(MIN(N(INDEX([1]Parametros!L$16:L$20,MATCH($C77,[1]Parametros!$A$16:$A$20,0)))*$K77,N('[1]ATS USA'!U77))&lt;=0,"",MIN(N(INDEX([1]Parametros!L$16:L$20,MATCH($C77,[1]Parametros!$A$16:$A$20,0)))*$K77,N('[1]ATS USA'!U77)))</f>
        <v/>
      </c>
      <c r="W77" s="9" t="str">
        <f>IF(MIN(N(INDEX([1]Parametros!M$16:M$20,MATCH($C77,[1]Parametros!$A$16:$A$20,0)))*$K77,N('[1]ATS USA'!V77))&lt;=0,"",MIN(N(INDEX([1]Parametros!M$16:M$20,MATCH($C77,[1]Parametros!$A$16:$A$20,0)))*$K77,N('[1]ATS USA'!V77)))</f>
        <v/>
      </c>
      <c r="X77" s="9" t="str">
        <f>IF(MIN(N(INDEX([1]Parametros!N$16:N$20,MATCH($C77,[1]Parametros!$A$16:$A$20,0)))*$K77,N('[1]ATS USA'!W77))&lt;=0,"",MIN(N(INDEX([1]Parametros!N$16:N$20,MATCH($C77,[1]Parametros!$A$16:$A$20,0)))*$K77,N('[1]ATS USA'!W77)))</f>
        <v/>
      </c>
      <c r="Y77" s="9" t="str">
        <f>IF(MIN(N(INDEX([1]Parametros!O$16:O$20,MATCH($C77,[1]Parametros!$A$16:$A$20,0)))*$K77,N('[1]ATS USA'!X77))&lt;=0,"",MIN(N(INDEX([1]Parametros!O$16:O$20,MATCH($C77,[1]Parametros!$A$16:$A$20,0)))*$K77,N('[1]ATS USA'!X77)))</f>
        <v/>
      </c>
      <c r="Z77" s="9" t="str">
        <f>IF(MIN(N(INDEX([1]Parametros!P$16:P$20,MATCH($C77,[1]Parametros!$A$16:$A$20,0)))*$K77,N('[1]ATS USA'!Y77))&lt;=0,"",MIN(N(INDEX([1]Parametros!P$16:P$20,MATCH($C77,[1]Parametros!$A$16:$A$20,0)))*$K77,N('[1]ATS USA'!Y77)))</f>
        <v/>
      </c>
      <c r="AA77" s="9" t="str">
        <f>IF(MIN(N(INDEX([1]Parametros!Q$16:Q$20,MATCH($C77,[1]Parametros!$A$16:$A$20,0)))*$K77,N('[1]ATS USA'!Z77))&lt;=0,"",MIN(N(INDEX([1]Parametros!Q$16:Q$20,MATCH($C77,[1]Parametros!$A$16:$A$20,0)))*$K77,N('[1]ATS USA'!Z77)))</f>
        <v/>
      </c>
      <c r="AB77" s="9" t="str">
        <f>IF(MIN(N(INDEX([1]Parametros!R$16:R$20,MATCH($C77,[1]Parametros!$A$16:$A$20,0)))*$K77,N('[1]ATS USA'!AA77))&lt;=0,"",MIN(N(INDEX([1]Parametros!R$16:R$20,MATCH($C77,[1]Parametros!$A$16:$A$20,0)))*$K77,N('[1]ATS USA'!AA77)))</f>
        <v/>
      </c>
      <c r="AC77" s="9" t="str">
        <f>IF(MIN(N(INDEX([1]Parametros!S$16:S$20,MATCH($C77,[1]Parametros!$A$16:$A$20,0)))*$K77,N('[1]ATS USA'!AB77))&lt;=0,"",MIN(N(INDEX([1]Parametros!S$16:S$20,MATCH($C77,[1]Parametros!$A$16:$A$20,0)))*$K77,N('[1]ATS USA'!AB77)))</f>
        <v/>
      </c>
      <c r="AD77" s="9" t="str">
        <f>IF(MIN(N(INDEX([1]Parametros!T$16:T$20,MATCH($C77,[1]Parametros!$A$16:$A$20,0)))*$K77,N('[1]ATS USA'!AC77))&lt;=0,"",MIN(N(INDEX([1]Parametros!T$16:T$20,MATCH($C77,[1]Parametros!$A$16:$A$20,0)))*$K77,N('[1]ATS USA'!AC77)))</f>
        <v/>
      </c>
      <c r="AE77" s="9" t="str">
        <f>IF(MIN(N(INDEX([1]Parametros!U$16:U$20,MATCH($C77,[1]Parametros!$A$16:$A$20,0)))*$K77,N('[1]ATS USA'!AD77))&lt;=0,"",MIN(N(INDEX([1]Parametros!U$16:U$20,MATCH($C77,[1]Parametros!$A$16:$A$20,0)))*$K77,N('[1]ATS USA'!AD77)))</f>
        <v/>
      </c>
      <c r="AF77" s="11">
        <f t="shared" si="6"/>
        <v>0</v>
      </c>
      <c r="AG77" s="12" t="str">
        <f t="shared" si="7"/>
        <v>OK</v>
      </c>
      <c r="AH77" s="6">
        <f t="shared" si="8"/>
        <v>0</v>
      </c>
      <c r="AI77" s="9">
        <f t="shared" si="9"/>
        <v>0</v>
      </c>
      <c r="AJ77" s="13">
        <f>IF(LEFT($A77,8)="Tránsito",IFERROR(_xlfn.XLOOKUP(--$E77,'[1]Reserva Territorios'!$C:$C,'[1]Reserva Territorios'!$J:$J),0),0)</f>
        <v>0</v>
      </c>
      <c r="AK77" s="13">
        <f t="shared" si="10"/>
        <v>0</v>
      </c>
    </row>
    <row r="78" spans="1:37" ht="48.95" hidden="1" customHeight="1" x14ac:dyDescent="0.25">
      <c r="A78" s="3" t="s">
        <v>37</v>
      </c>
      <c r="B78" s="4" t="s">
        <v>231</v>
      </c>
      <c r="C78" s="4" t="s">
        <v>272</v>
      </c>
      <c r="D78" s="4" t="s">
        <v>292</v>
      </c>
      <c r="E78" s="4" t="s">
        <v>296</v>
      </c>
      <c r="F78" s="4" t="s">
        <v>297</v>
      </c>
      <c r="G78" s="4" t="s">
        <v>298</v>
      </c>
      <c r="H78" s="5">
        <v>19.5</v>
      </c>
      <c r="I78" s="6">
        <v>6</v>
      </c>
      <c r="J78" s="7">
        <f>ROUND(I78*[1]Parametros!$B$10,-3)</f>
        <v>21000</v>
      </c>
      <c r="K78" s="8">
        <v>0</v>
      </c>
      <c r="L78" s="9" t="str">
        <f>IF(MIN(N(INDEX([1]Parametros!B$16:B$20,MATCH($C78,[1]Parametros!$A$16:$A$20,0)))*$K78,N('[1]ATS USA'!K78))&lt;=0,"",MIN(N(INDEX([1]Parametros!B$16:B$20,MATCH($C78,[1]Parametros!$A$16:$A$20,0)))*$K78,N('[1]ATS USA'!K78)))</f>
        <v/>
      </c>
      <c r="M78" s="10" t="str">
        <f>IF(MIN(N(INDEX([1]Parametros!C$16:C$20,MATCH($C78,[1]Parametros!$A$16:$A$20,0)))*$K78,N('[1]ATS USA'!L78))&lt;=0,"",MIN(N(INDEX([1]Parametros!C$16:C$20,MATCH($C78,[1]Parametros!$A$16:$A$20,0)))*$K78,N('[1]ATS USA'!L78)))</f>
        <v/>
      </c>
      <c r="N78" s="10" t="str">
        <f>IF(MIN(N(INDEX([1]Parametros!D$16:D$20,MATCH($C78,[1]Parametros!$A$16:$A$20,0)))*$K78,N('[1]ATS USA'!M78))&lt;=0,"",MIN(N(INDEX([1]Parametros!D$16:D$20,MATCH($C78,[1]Parametros!$A$16:$A$20,0)))*$K78,N('[1]ATS USA'!M78)))</f>
        <v/>
      </c>
      <c r="O78" s="10" t="str">
        <f>IF(MIN(N(INDEX([1]Parametros!E$16:E$20,MATCH($C78,[1]Parametros!$A$16:$A$20,0)))*$K78,N('[1]ATS USA'!N78))&lt;=0,"",MIN(N(INDEX([1]Parametros!E$16:E$20,MATCH($C78,[1]Parametros!$A$16:$A$20,0)))*$K78,N('[1]ATS USA'!N78)))</f>
        <v/>
      </c>
      <c r="P78" s="10" t="str">
        <f>IF(MIN(N(INDEX([1]Parametros!F$16:F$20,MATCH($C78,[1]Parametros!$A$16:$A$20,0)))*$K78,N('[1]ATS USA'!O78))&lt;=0,"",MIN(N(INDEX([1]Parametros!F$16:F$20,MATCH($C78,[1]Parametros!$A$16:$A$20,0)))*$K78,N('[1]ATS USA'!O78)))</f>
        <v/>
      </c>
      <c r="Q78" s="9" t="str">
        <f>IF(MIN(N(INDEX([1]Parametros!G$16:G$20,MATCH($C78,[1]Parametros!$A$16:$A$20,0)))*$K78,N('[1]ATS USA'!P78))&lt;=0,"",MIN(N(INDEX([1]Parametros!G$16:G$20,MATCH($C78,[1]Parametros!$A$16:$A$20,0)))*$K78,N('[1]ATS USA'!P78)))</f>
        <v/>
      </c>
      <c r="R78" s="10" t="str">
        <f>IF(MIN(N(INDEX([1]Parametros!H$16:H$20,MATCH($C78,[1]Parametros!$A$16:$A$20,0)))*$K78,N('[1]ATS USA'!Q78))&lt;=0,"",MIN(N(INDEX([1]Parametros!H$16:H$20,MATCH($C78,[1]Parametros!$A$16:$A$20,0)))*$K78,N('[1]ATS USA'!Q78)))</f>
        <v/>
      </c>
      <c r="S78" s="9" t="str">
        <f>IF(MIN(N(INDEX([1]Parametros!I$16:I$20,MATCH($C78,[1]Parametros!$A$16:$A$20,0)))*$K78,N('[1]ATS USA'!R78))&lt;=0,"",MIN(N(INDEX([1]Parametros!I$16:I$20,MATCH($C78,[1]Parametros!$A$16:$A$20,0)))*$K78,N('[1]ATS USA'!R78)))</f>
        <v/>
      </c>
      <c r="T78" s="10" t="str">
        <f>IF(MIN(N(INDEX([1]Parametros!J$16:J$20,MATCH($C78,[1]Parametros!$A$16:$A$20,0)))*$K78,N('[1]ATS USA'!S78))&lt;=0,"",MIN(N(INDEX([1]Parametros!J$16:J$20,MATCH($C78,[1]Parametros!$A$16:$A$20,0)))*$K78,N('[1]ATS USA'!S78)))</f>
        <v/>
      </c>
      <c r="U78" s="9" t="str">
        <f>IF(MIN(N(INDEX([1]Parametros!K$16:K$20,MATCH($C78,[1]Parametros!$A$16:$A$20,0)))*$K78,N('[1]ATS USA'!T78))&lt;=0,"",MIN(N(INDEX([1]Parametros!K$16:K$20,MATCH($C78,[1]Parametros!$A$16:$A$20,0)))*$K78,N('[1]ATS USA'!T78)))</f>
        <v/>
      </c>
      <c r="V78" s="9" t="str">
        <f>IF(MIN(N(INDEX([1]Parametros!L$16:L$20,MATCH($C78,[1]Parametros!$A$16:$A$20,0)))*$K78,N('[1]ATS USA'!U78))&lt;=0,"",MIN(N(INDEX([1]Parametros!L$16:L$20,MATCH($C78,[1]Parametros!$A$16:$A$20,0)))*$K78,N('[1]ATS USA'!U78)))</f>
        <v/>
      </c>
      <c r="W78" s="9" t="str">
        <f>IF(MIN(N(INDEX([1]Parametros!M$16:M$20,MATCH($C78,[1]Parametros!$A$16:$A$20,0)))*$K78,N('[1]ATS USA'!V78))&lt;=0,"",MIN(N(INDEX([1]Parametros!M$16:M$20,MATCH($C78,[1]Parametros!$A$16:$A$20,0)))*$K78,N('[1]ATS USA'!V78)))</f>
        <v/>
      </c>
      <c r="X78" s="9" t="str">
        <f>IF(MIN(N(INDEX([1]Parametros!N$16:N$20,MATCH($C78,[1]Parametros!$A$16:$A$20,0)))*$K78,N('[1]ATS USA'!W78))&lt;=0,"",MIN(N(INDEX([1]Parametros!N$16:N$20,MATCH($C78,[1]Parametros!$A$16:$A$20,0)))*$K78,N('[1]ATS USA'!W78)))</f>
        <v/>
      </c>
      <c r="Y78" s="9" t="str">
        <f>IF(MIN(N(INDEX([1]Parametros!O$16:O$20,MATCH($C78,[1]Parametros!$A$16:$A$20,0)))*$K78,N('[1]ATS USA'!X78))&lt;=0,"",MIN(N(INDEX([1]Parametros!O$16:O$20,MATCH($C78,[1]Parametros!$A$16:$A$20,0)))*$K78,N('[1]ATS USA'!X78)))</f>
        <v/>
      </c>
      <c r="Z78" s="9" t="str">
        <f>IF(MIN(N(INDEX([1]Parametros!P$16:P$20,MATCH($C78,[1]Parametros!$A$16:$A$20,0)))*$K78,N('[1]ATS USA'!Y78))&lt;=0,"",MIN(N(INDEX([1]Parametros!P$16:P$20,MATCH($C78,[1]Parametros!$A$16:$A$20,0)))*$K78,N('[1]ATS USA'!Y78)))</f>
        <v/>
      </c>
      <c r="AA78" s="9" t="str">
        <f>IF(MIN(N(INDEX([1]Parametros!Q$16:Q$20,MATCH($C78,[1]Parametros!$A$16:$A$20,0)))*$K78,N('[1]ATS USA'!Z78))&lt;=0,"",MIN(N(INDEX([1]Parametros!Q$16:Q$20,MATCH($C78,[1]Parametros!$A$16:$A$20,0)))*$K78,N('[1]ATS USA'!Z78)))</f>
        <v/>
      </c>
      <c r="AB78" s="9" t="str">
        <f>IF(MIN(N(INDEX([1]Parametros!R$16:R$20,MATCH($C78,[1]Parametros!$A$16:$A$20,0)))*$K78,N('[1]ATS USA'!AA78))&lt;=0,"",MIN(N(INDEX([1]Parametros!R$16:R$20,MATCH($C78,[1]Parametros!$A$16:$A$20,0)))*$K78,N('[1]ATS USA'!AA78)))</f>
        <v/>
      </c>
      <c r="AC78" s="9" t="str">
        <f>IF(MIN(N(INDEX([1]Parametros!S$16:S$20,MATCH($C78,[1]Parametros!$A$16:$A$20,0)))*$K78,N('[1]ATS USA'!AB78))&lt;=0,"",MIN(N(INDEX([1]Parametros!S$16:S$20,MATCH($C78,[1]Parametros!$A$16:$A$20,0)))*$K78,N('[1]ATS USA'!AB78)))</f>
        <v/>
      </c>
      <c r="AD78" s="9" t="str">
        <f>IF(MIN(N(INDEX([1]Parametros!T$16:T$20,MATCH($C78,[1]Parametros!$A$16:$A$20,0)))*$K78,N('[1]ATS USA'!AC78))&lt;=0,"",MIN(N(INDEX([1]Parametros!T$16:T$20,MATCH($C78,[1]Parametros!$A$16:$A$20,0)))*$K78,N('[1]ATS USA'!AC78)))</f>
        <v/>
      </c>
      <c r="AE78" s="9" t="str">
        <f>IF(MIN(N(INDEX([1]Parametros!U$16:U$20,MATCH($C78,[1]Parametros!$A$16:$A$20,0)))*$K78,N('[1]ATS USA'!AD78))&lt;=0,"",MIN(N(INDEX([1]Parametros!U$16:U$20,MATCH($C78,[1]Parametros!$A$16:$A$20,0)))*$K78,N('[1]ATS USA'!AD78)))</f>
        <v/>
      </c>
      <c r="AF78" s="11">
        <f t="shared" si="6"/>
        <v>0</v>
      </c>
      <c r="AG78" s="12" t="str">
        <f t="shared" si="7"/>
        <v>OK</v>
      </c>
      <c r="AH78" s="6">
        <f t="shared" si="8"/>
        <v>0</v>
      </c>
      <c r="AI78" s="9">
        <f t="shared" si="9"/>
        <v>0</v>
      </c>
      <c r="AJ78" s="13">
        <f>IF(LEFT($A78,8)="Tránsito",IFERROR(_xlfn.XLOOKUP(--$E78,'[1]Reserva Territorios'!$C:$C,'[1]Reserva Territorios'!$J:$J),0),0)</f>
        <v>0</v>
      </c>
      <c r="AK78" s="13">
        <f t="shared" si="10"/>
        <v>0</v>
      </c>
    </row>
    <row r="79" spans="1:37" ht="48.95" hidden="1" customHeight="1" x14ac:dyDescent="0.25">
      <c r="A79" s="3" t="s">
        <v>37</v>
      </c>
      <c r="B79" s="4" t="s">
        <v>231</v>
      </c>
      <c r="C79" s="4" t="s">
        <v>299</v>
      </c>
      <c r="D79" s="4" t="s">
        <v>236</v>
      </c>
      <c r="E79" s="4" t="s">
        <v>300</v>
      </c>
      <c r="F79" s="4" t="s">
        <v>301</v>
      </c>
      <c r="G79" s="4" t="s">
        <v>302</v>
      </c>
      <c r="H79" s="5">
        <v>16</v>
      </c>
      <c r="I79" s="6"/>
      <c r="J79" s="7">
        <f>ROUND(I79*[1]Parametros!$B$10,-3)</f>
        <v>0</v>
      </c>
      <c r="K79" s="8">
        <v>0</v>
      </c>
      <c r="L79" s="9" t="str">
        <f>IF(MIN(N(INDEX([1]Parametros!B$16:B$20,MATCH($C79,[1]Parametros!$A$16:$A$20,0)))*$K79,N('[1]ATS USA'!K79))&lt;=0,"",MIN(N(INDEX([1]Parametros!B$16:B$20,MATCH($C79,[1]Parametros!$A$16:$A$20,0)))*$K79,N('[1]ATS USA'!K79)))</f>
        <v/>
      </c>
      <c r="M79" s="9" t="str">
        <f>IF(MIN(N(INDEX([1]Parametros!C$16:C$20,MATCH($C79,[1]Parametros!$A$16:$A$20,0)))*$K79,N('[1]ATS USA'!L79))&lt;=0,"",MIN(N(INDEX([1]Parametros!C$16:C$20,MATCH($C79,[1]Parametros!$A$16:$A$20,0)))*$K79,N('[1]ATS USA'!L79)))</f>
        <v/>
      </c>
      <c r="N79" s="9" t="str">
        <f>IF(MIN(N(INDEX([1]Parametros!D$16:D$20,MATCH($C79,[1]Parametros!$A$16:$A$20,0)))*$K79,N('[1]ATS USA'!M79))&lt;=0,"",MIN(N(INDEX([1]Parametros!D$16:D$20,MATCH($C79,[1]Parametros!$A$16:$A$20,0)))*$K79,N('[1]ATS USA'!M79)))</f>
        <v/>
      </c>
      <c r="O79" s="10" t="str">
        <f>IF(MIN(N(INDEX([1]Parametros!E$16:E$20,MATCH($C79,[1]Parametros!$A$16:$A$20,0)))*$K79,N('[1]ATS USA'!N79))&lt;=0,"",MIN(N(INDEX([1]Parametros!E$16:E$20,MATCH($C79,[1]Parametros!$A$16:$A$20,0)))*$K79,N('[1]ATS USA'!N79)))</f>
        <v/>
      </c>
      <c r="P79" s="10" t="str">
        <f>IF(MIN(N(INDEX([1]Parametros!F$16:F$20,MATCH($C79,[1]Parametros!$A$16:$A$20,0)))*$K79,N('[1]ATS USA'!O79))&lt;=0,"",MIN(N(INDEX([1]Parametros!F$16:F$20,MATCH($C79,[1]Parametros!$A$16:$A$20,0)))*$K79,N('[1]ATS USA'!O79)))</f>
        <v/>
      </c>
      <c r="Q79" s="9" t="str">
        <f>IF(MIN(N(INDEX([1]Parametros!G$16:G$20,MATCH($C79,[1]Parametros!$A$16:$A$20,0)))*$K79,N('[1]ATS USA'!P79))&lt;=0,"",MIN(N(INDEX([1]Parametros!G$16:G$20,MATCH($C79,[1]Parametros!$A$16:$A$20,0)))*$K79,N('[1]ATS USA'!P79)))</f>
        <v/>
      </c>
      <c r="R79" s="10" t="str">
        <f>IF(MIN(N(INDEX([1]Parametros!H$16:H$20,MATCH($C79,[1]Parametros!$A$16:$A$20,0)))*$K79,N('[1]ATS USA'!Q79))&lt;=0,"",MIN(N(INDEX([1]Parametros!H$16:H$20,MATCH($C79,[1]Parametros!$A$16:$A$20,0)))*$K79,N('[1]ATS USA'!Q79)))</f>
        <v/>
      </c>
      <c r="S79" s="9" t="str">
        <f>IF(MIN(N(INDEX([1]Parametros!I$16:I$20,MATCH($C79,[1]Parametros!$A$16:$A$20,0)))*$K79,N('[1]ATS USA'!R79))&lt;=0,"",MIN(N(INDEX([1]Parametros!I$16:I$20,MATCH($C79,[1]Parametros!$A$16:$A$20,0)))*$K79,N('[1]ATS USA'!R79)))</f>
        <v/>
      </c>
      <c r="T79" s="10" t="str">
        <f>IF(MIN(N(INDEX([1]Parametros!J$16:J$20,MATCH($C79,[1]Parametros!$A$16:$A$20,0)))*$K79,N('[1]ATS USA'!S79))&lt;=0,"",MIN(N(INDEX([1]Parametros!J$16:J$20,MATCH($C79,[1]Parametros!$A$16:$A$20,0)))*$K79,N('[1]ATS USA'!S79)))</f>
        <v/>
      </c>
      <c r="U79" s="9" t="str">
        <f>IF(MIN(N(INDEX([1]Parametros!K$16:K$20,MATCH($C79,[1]Parametros!$A$16:$A$20,0)))*$K79,N('[1]ATS USA'!T79))&lt;=0,"",MIN(N(INDEX([1]Parametros!K$16:K$20,MATCH($C79,[1]Parametros!$A$16:$A$20,0)))*$K79,N('[1]ATS USA'!T79)))</f>
        <v/>
      </c>
      <c r="V79" s="9" t="str">
        <f>IF(MIN(N(INDEX([1]Parametros!L$16:L$20,MATCH($C79,[1]Parametros!$A$16:$A$20,0)))*$K79,N('[1]ATS USA'!U79))&lt;=0,"",MIN(N(INDEX([1]Parametros!L$16:L$20,MATCH($C79,[1]Parametros!$A$16:$A$20,0)))*$K79,N('[1]ATS USA'!U79)))</f>
        <v/>
      </c>
      <c r="W79" s="9" t="str">
        <f>IF(MIN(N(INDEX([1]Parametros!M$16:M$20,MATCH($C79,[1]Parametros!$A$16:$A$20,0)))*$K79,N('[1]ATS USA'!V79))&lt;=0,"",MIN(N(INDEX([1]Parametros!M$16:M$20,MATCH($C79,[1]Parametros!$A$16:$A$20,0)))*$K79,N('[1]ATS USA'!V79)))</f>
        <v/>
      </c>
      <c r="X79" s="9" t="str">
        <f>IF(MIN(N(INDEX([1]Parametros!N$16:N$20,MATCH($C79,[1]Parametros!$A$16:$A$20,0)))*$K79,N('[1]ATS USA'!W79))&lt;=0,"",MIN(N(INDEX([1]Parametros!N$16:N$20,MATCH($C79,[1]Parametros!$A$16:$A$20,0)))*$K79,N('[1]ATS USA'!W79)))</f>
        <v/>
      </c>
      <c r="Y79" s="9" t="str">
        <f>IF(MIN(N(INDEX([1]Parametros!O$16:O$20,MATCH($C79,[1]Parametros!$A$16:$A$20,0)))*$K79,N('[1]ATS USA'!X79))&lt;=0,"",MIN(N(INDEX([1]Parametros!O$16:O$20,MATCH($C79,[1]Parametros!$A$16:$A$20,0)))*$K79,N('[1]ATS USA'!X79)))</f>
        <v/>
      </c>
      <c r="Z79" s="9" t="str">
        <f>IF(MIN(N(INDEX([1]Parametros!P$16:P$20,MATCH($C79,[1]Parametros!$A$16:$A$20,0)))*$K79,N('[1]ATS USA'!Y79))&lt;=0,"",MIN(N(INDEX([1]Parametros!P$16:P$20,MATCH($C79,[1]Parametros!$A$16:$A$20,0)))*$K79,N('[1]ATS USA'!Y79)))</f>
        <v/>
      </c>
      <c r="AA79" s="9" t="str">
        <f>IF(MIN(N(INDEX([1]Parametros!Q$16:Q$20,MATCH($C79,[1]Parametros!$A$16:$A$20,0)))*$K79,N('[1]ATS USA'!Z79))&lt;=0,"",MIN(N(INDEX([1]Parametros!Q$16:Q$20,MATCH($C79,[1]Parametros!$A$16:$A$20,0)))*$K79,N('[1]ATS USA'!Z79)))</f>
        <v/>
      </c>
      <c r="AB79" s="9" t="str">
        <f>IF(MIN(N(INDEX([1]Parametros!R$16:R$20,MATCH($C79,[1]Parametros!$A$16:$A$20,0)))*$K79,N('[1]ATS USA'!AA79))&lt;=0,"",MIN(N(INDEX([1]Parametros!R$16:R$20,MATCH($C79,[1]Parametros!$A$16:$A$20,0)))*$K79,N('[1]ATS USA'!AA79)))</f>
        <v/>
      </c>
      <c r="AC79" s="9" t="str">
        <f>IF(MIN(N(INDEX([1]Parametros!S$16:S$20,MATCH($C79,[1]Parametros!$A$16:$A$20,0)))*$K79,N('[1]ATS USA'!AB79))&lt;=0,"",MIN(N(INDEX([1]Parametros!S$16:S$20,MATCH($C79,[1]Parametros!$A$16:$A$20,0)))*$K79,N('[1]ATS USA'!AB79)))</f>
        <v/>
      </c>
      <c r="AD79" s="9" t="str">
        <f>IF(MIN(N(INDEX([1]Parametros!T$16:T$20,MATCH($C79,[1]Parametros!$A$16:$A$20,0)))*$K79,N('[1]ATS USA'!AC79))&lt;=0,"",MIN(N(INDEX([1]Parametros!T$16:T$20,MATCH($C79,[1]Parametros!$A$16:$A$20,0)))*$K79,N('[1]ATS USA'!AC79)))</f>
        <v/>
      </c>
      <c r="AE79" s="9" t="str">
        <f>IF(MIN(N(INDEX([1]Parametros!U$16:U$20,MATCH($C79,[1]Parametros!$A$16:$A$20,0)))*$K79,N('[1]ATS USA'!AD79))&lt;=0,"",MIN(N(INDEX([1]Parametros!U$16:U$20,MATCH($C79,[1]Parametros!$A$16:$A$20,0)))*$K79,N('[1]ATS USA'!AD79)))</f>
        <v/>
      </c>
      <c r="AF79" s="11">
        <f t="shared" si="6"/>
        <v>0</v>
      </c>
      <c r="AG79" s="12" t="str">
        <f t="shared" si="7"/>
        <v>OK</v>
      </c>
      <c r="AH79" s="6">
        <f t="shared" si="8"/>
        <v>0</v>
      </c>
      <c r="AI79" s="9">
        <f t="shared" si="9"/>
        <v>0</v>
      </c>
      <c r="AJ79" s="13">
        <f>IF(LEFT($A79,8)="Tránsito",IFERROR(_xlfn.XLOOKUP(--$E79,'[1]Reserva Territorios'!$C:$C,'[1]Reserva Territorios'!$J:$J),0),0)</f>
        <v>0</v>
      </c>
      <c r="AK79" s="13">
        <f t="shared" si="10"/>
        <v>0</v>
      </c>
    </row>
    <row r="80" spans="1:37" ht="48.95" hidden="1" customHeight="1" x14ac:dyDescent="0.25">
      <c r="A80" s="3" t="s">
        <v>37</v>
      </c>
      <c r="B80" s="4" t="s">
        <v>231</v>
      </c>
      <c r="C80" s="4" t="s">
        <v>299</v>
      </c>
      <c r="D80" s="4" t="s">
        <v>240</v>
      </c>
      <c r="E80" s="4" t="s">
        <v>303</v>
      </c>
      <c r="F80" s="4" t="s">
        <v>304</v>
      </c>
      <c r="G80" s="4" t="s">
        <v>275</v>
      </c>
      <c r="H80" s="5">
        <v>18.5</v>
      </c>
      <c r="I80" s="6">
        <v>57</v>
      </c>
      <c r="J80" s="7">
        <f>ROUND(I80*[1]Parametros!$B$10,-3)</f>
        <v>203000</v>
      </c>
      <c r="K80" s="8">
        <v>0</v>
      </c>
      <c r="L80" s="9" t="str">
        <f>IF(MIN(N(INDEX([1]Parametros!B$16:B$20,MATCH($C80,[1]Parametros!$A$16:$A$20,0)))*$K80,N('[1]ATS USA'!K80))&lt;=0,"",MIN(N(INDEX([1]Parametros!B$16:B$20,MATCH($C80,[1]Parametros!$A$16:$A$20,0)))*$K80,N('[1]ATS USA'!K80)))</f>
        <v/>
      </c>
      <c r="M80" s="9" t="str">
        <f>IF(MIN(N(INDEX([1]Parametros!C$16:C$20,MATCH($C80,[1]Parametros!$A$16:$A$20,0)))*$K80,N('[1]ATS USA'!L80))&lt;=0,"",MIN(N(INDEX([1]Parametros!C$16:C$20,MATCH($C80,[1]Parametros!$A$16:$A$20,0)))*$K80,N('[1]ATS USA'!L80)))</f>
        <v/>
      </c>
      <c r="N80" s="9" t="str">
        <f>IF(MIN(N(INDEX([1]Parametros!D$16:D$20,MATCH($C80,[1]Parametros!$A$16:$A$20,0)))*$K80,N('[1]ATS USA'!M80))&lt;=0,"",MIN(N(INDEX([1]Parametros!D$16:D$20,MATCH($C80,[1]Parametros!$A$16:$A$20,0)))*$K80,N('[1]ATS USA'!M80)))</f>
        <v/>
      </c>
      <c r="O80" s="10" t="str">
        <f>IF(MIN(N(INDEX([1]Parametros!E$16:E$20,MATCH($C80,[1]Parametros!$A$16:$A$20,0)))*$K80,N('[1]ATS USA'!N80))&lt;=0,"",MIN(N(INDEX([1]Parametros!E$16:E$20,MATCH($C80,[1]Parametros!$A$16:$A$20,0)))*$K80,N('[1]ATS USA'!N80)))</f>
        <v/>
      </c>
      <c r="P80" s="10" t="str">
        <f>IF(MIN(N(INDEX([1]Parametros!F$16:F$20,MATCH($C80,[1]Parametros!$A$16:$A$20,0)))*$K80,N('[1]ATS USA'!O80))&lt;=0,"",MIN(N(INDEX([1]Parametros!F$16:F$20,MATCH($C80,[1]Parametros!$A$16:$A$20,0)))*$K80,N('[1]ATS USA'!O80)))</f>
        <v/>
      </c>
      <c r="Q80" s="9" t="str">
        <f>IF(MIN(N(INDEX([1]Parametros!G$16:G$20,MATCH($C80,[1]Parametros!$A$16:$A$20,0)))*$K80,N('[1]ATS USA'!P80))&lt;=0,"",MIN(N(INDEX([1]Parametros!G$16:G$20,MATCH($C80,[1]Parametros!$A$16:$A$20,0)))*$K80,N('[1]ATS USA'!P80)))</f>
        <v/>
      </c>
      <c r="R80" s="10" t="str">
        <f>IF(MIN(N(INDEX([1]Parametros!H$16:H$20,MATCH($C80,[1]Parametros!$A$16:$A$20,0)))*$K80,N('[1]ATS USA'!Q80))&lt;=0,"",MIN(N(INDEX([1]Parametros!H$16:H$20,MATCH($C80,[1]Parametros!$A$16:$A$20,0)))*$K80,N('[1]ATS USA'!Q80)))</f>
        <v/>
      </c>
      <c r="S80" s="9" t="str">
        <f>IF(MIN(N(INDEX([1]Parametros!I$16:I$20,MATCH($C80,[1]Parametros!$A$16:$A$20,0)))*$K80,N('[1]ATS USA'!R80))&lt;=0,"",MIN(N(INDEX([1]Parametros!I$16:I$20,MATCH($C80,[1]Parametros!$A$16:$A$20,0)))*$K80,N('[1]ATS USA'!R80)))</f>
        <v/>
      </c>
      <c r="T80" s="10" t="str">
        <f>IF(MIN(N(INDEX([1]Parametros!J$16:J$20,MATCH($C80,[1]Parametros!$A$16:$A$20,0)))*$K80,N('[1]ATS USA'!S80))&lt;=0,"",MIN(N(INDEX([1]Parametros!J$16:J$20,MATCH($C80,[1]Parametros!$A$16:$A$20,0)))*$K80,N('[1]ATS USA'!S80)))</f>
        <v/>
      </c>
      <c r="U80" s="9" t="str">
        <f>IF(MIN(N(INDEX([1]Parametros!K$16:K$20,MATCH($C80,[1]Parametros!$A$16:$A$20,0)))*$K80,N('[1]ATS USA'!T80))&lt;=0,"",MIN(N(INDEX([1]Parametros!K$16:K$20,MATCH($C80,[1]Parametros!$A$16:$A$20,0)))*$K80,N('[1]ATS USA'!T80)))</f>
        <v/>
      </c>
      <c r="V80" s="9" t="str">
        <f>IF(MIN(N(INDEX([1]Parametros!L$16:L$20,MATCH($C80,[1]Parametros!$A$16:$A$20,0)))*$K80,N('[1]ATS USA'!U80))&lt;=0,"",MIN(N(INDEX([1]Parametros!L$16:L$20,MATCH($C80,[1]Parametros!$A$16:$A$20,0)))*$K80,N('[1]ATS USA'!U80)))</f>
        <v/>
      </c>
      <c r="W80" s="9" t="str">
        <f>IF(MIN(N(INDEX([1]Parametros!M$16:M$20,MATCH($C80,[1]Parametros!$A$16:$A$20,0)))*$K80,N('[1]ATS USA'!V80))&lt;=0,"",MIN(N(INDEX([1]Parametros!M$16:M$20,MATCH($C80,[1]Parametros!$A$16:$A$20,0)))*$K80,N('[1]ATS USA'!V80)))</f>
        <v/>
      </c>
      <c r="X80" s="9" t="str">
        <f>IF(MIN(N(INDEX([1]Parametros!N$16:N$20,MATCH($C80,[1]Parametros!$A$16:$A$20,0)))*$K80,N('[1]ATS USA'!W80))&lt;=0,"",MIN(N(INDEX([1]Parametros!N$16:N$20,MATCH($C80,[1]Parametros!$A$16:$A$20,0)))*$K80,N('[1]ATS USA'!W80)))</f>
        <v/>
      </c>
      <c r="Y80" s="9" t="str">
        <f>IF(MIN(N(INDEX([1]Parametros!O$16:O$20,MATCH($C80,[1]Parametros!$A$16:$A$20,0)))*$K80,N('[1]ATS USA'!X80))&lt;=0,"",MIN(N(INDEX([1]Parametros!O$16:O$20,MATCH($C80,[1]Parametros!$A$16:$A$20,0)))*$K80,N('[1]ATS USA'!X80)))</f>
        <v/>
      </c>
      <c r="Z80" s="9" t="str">
        <f>IF(MIN(N(INDEX([1]Parametros!P$16:P$20,MATCH($C80,[1]Parametros!$A$16:$A$20,0)))*$K80,N('[1]ATS USA'!Y80))&lt;=0,"",MIN(N(INDEX([1]Parametros!P$16:P$20,MATCH($C80,[1]Parametros!$A$16:$A$20,0)))*$K80,N('[1]ATS USA'!Y80)))</f>
        <v/>
      </c>
      <c r="AA80" s="9" t="str">
        <f>IF(MIN(N(INDEX([1]Parametros!Q$16:Q$20,MATCH($C80,[1]Parametros!$A$16:$A$20,0)))*$K80,N('[1]ATS USA'!Z80))&lt;=0,"",MIN(N(INDEX([1]Parametros!Q$16:Q$20,MATCH($C80,[1]Parametros!$A$16:$A$20,0)))*$K80,N('[1]ATS USA'!Z80)))</f>
        <v/>
      </c>
      <c r="AB80" s="9" t="str">
        <f>IF(MIN(N(INDEX([1]Parametros!R$16:R$20,MATCH($C80,[1]Parametros!$A$16:$A$20,0)))*$K80,N('[1]ATS USA'!AA80))&lt;=0,"",MIN(N(INDEX([1]Parametros!R$16:R$20,MATCH($C80,[1]Parametros!$A$16:$A$20,0)))*$K80,N('[1]ATS USA'!AA80)))</f>
        <v/>
      </c>
      <c r="AC80" s="9" t="str">
        <f>IF(MIN(N(INDEX([1]Parametros!S$16:S$20,MATCH($C80,[1]Parametros!$A$16:$A$20,0)))*$K80,N('[1]ATS USA'!AB80))&lt;=0,"",MIN(N(INDEX([1]Parametros!S$16:S$20,MATCH($C80,[1]Parametros!$A$16:$A$20,0)))*$K80,N('[1]ATS USA'!AB80)))</f>
        <v/>
      </c>
      <c r="AD80" s="9" t="str">
        <f>IF(MIN(N(INDEX([1]Parametros!T$16:T$20,MATCH($C80,[1]Parametros!$A$16:$A$20,0)))*$K80,N('[1]ATS USA'!AC80))&lt;=0,"",MIN(N(INDEX([1]Parametros!T$16:T$20,MATCH($C80,[1]Parametros!$A$16:$A$20,0)))*$K80,N('[1]ATS USA'!AC80)))</f>
        <v/>
      </c>
      <c r="AE80" s="9" t="str">
        <f>IF(MIN(N(INDEX([1]Parametros!U$16:U$20,MATCH($C80,[1]Parametros!$A$16:$A$20,0)))*$K80,N('[1]ATS USA'!AD80))&lt;=0,"",MIN(N(INDEX([1]Parametros!U$16:U$20,MATCH($C80,[1]Parametros!$A$16:$A$20,0)))*$K80,N('[1]ATS USA'!AD80)))</f>
        <v/>
      </c>
      <c r="AF80" s="11">
        <f t="shared" si="6"/>
        <v>0</v>
      </c>
      <c r="AG80" s="12" t="str">
        <f t="shared" si="7"/>
        <v>OK</v>
      </c>
      <c r="AH80" s="6">
        <f t="shared" si="8"/>
        <v>0</v>
      </c>
      <c r="AI80" s="9">
        <f t="shared" si="9"/>
        <v>0</v>
      </c>
      <c r="AJ80" s="13">
        <f>IF(LEFT($A80,8)="Tránsito",IFERROR(_xlfn.XLOOKUP(--$E80,'[1]Reserva Territorios'!$C:$C,'[1]Reserva Territorios'!$J:$J),0),0)</f>
        <v>0</v>
      </c>
      <c r="AK80" s="13">
        <f t="shared" si="10"/>
        <v>0</v>
      </c>
    </row>
    <row r="81" spans="1:37" ht="48.95" hidden="1" customHeight="1" x14ac:dyDescent="0.25">
      <c r="A81" s="3" t="s">
        <v>37</v>
      </c>
      <c r="B81" s="4" t="s">
        <v>231</v>
      </c>
      <c r="C81" s="4" t="s">
        <v>299</v>
      </c>
      <c r="D81" s="4" t="s">
        <v>240</v>
      </c>
      <c r="E81" s="4" t="s">
        <v>305</v>
      </c>
      <c r="F81" s="4" t="s">
        <v>306</v>
      </c>
      <c r="G81" s="4" t="s">
        <v>246</v>
      </c>
      <c r="H81" s="5">
        <v>18.5</v>
      </c>
      <c r="I81" s="6">
        <v>57</v>
      </c>
      <c r="J81" s="7">
        <f>ROUND(I81*[1]Parametros!$B$10,-3)</f>
        <v>203000</v>
      </c>
      <c r="K81" s="8">
        <v>0</v>
      </c>
      <c r="L81" s="9" t="str">
        <f>IF(MIN(N(INDEX([1]Parametros!B$16:B$20,MATCH($C81,[1]Parametros!$A$16:$A$20,0)))*$K81,N('[1]ATS USA'!K81))&lt;=0,"",MIN(N(INDEX([1]Parametros!B$16:B$20,MATCH($C81,[1]Parametros!$A$16:$A$20,0)))*$K81,N('[1]ATS USA'!K81)))</f>
        <v/>
      </c>
      <c r="M81" s="9" t="str">
        <f>IF(MIN(N(INDEX([1]Parametros!C$16:C$20,MATCH($C81,[1]Parametros!$A$16:$A$20,0)))*$K81,N('[1]ATS USA'!L81))&lt;=0,"",MIN(N(INDEX([1]Parametros!C$16:C$20,MATCH($C81,[1]Parametros!$A$16:$A$20,0)))*$K81,N('[1]ATS USA'!L81)))</f>
        <v/>
      </c>
      <c r="N81" s="9" t="str">
        <f>IF(MIN(N(INDEX([1]Parametros!D$16:D$20,MATCH($C81,[1]Parametros!$A$16:$A$20,0)))*$K81,N('[1]ATS USA'!M81))&lt;=0,"",MIN(N(INDEX([1]Parametros!D$16:D$20,MATCH($C81,[1]Parametros!$A$16:$A$20,0)))*$K81,N('[1]ATS USA'!M81)))</f>
        <v/>
      </c>
      <c r="O81" s="10" t="str">
        <f>IF(MIN(N(INDEX([1]Parametros!E$16:E$20,MATCH($C81,[1]Parametros!$A$16:$A$20,0)))*$K81,N('[1]ATS USA'!N81))&lt;=0,"",MIN(N(INDEX([1]Parametros!E$16:E$20,MATCH($C81,[1]Parametros!$A$16:$A$20,0)))*$K81,N('[1]ATS USA'!N81)))</f>
        <v/>
      </c>
      <c r="P81" s="10" t="str">
        <f>IF(MIN(N(INDEX([1]Parametros!F$16:F$20,MATCH($C81,[1]Parametros!$A$16:$A$20,0)))*$K81,N('[1]ATS USA'!O81))&lt;=0,"",MIN(N(INDEX([1]Parametros!F$16:F$20,MATCH($C81,[1]Parametros!$A$16:$A$20,0)))*$K81,N('[1]ATS USA'!O81)))</f>
        <v/>
      </c>
      <c r="Q81" s="9" t="str">
        <f>IF(MIN(N(INDEX([1]Parametros!G$16:G$20,MATCH($C81,[1]Parametros!$A$16:$A$20,0)))*$K81,N('[1]ATS USA'!P81))&lt;=0,"",MIN(N(INDEX([1]Parametros!G$16:G$20,MATCH($C81,[1]Parametros!$A$16:$A$20,0)))*$K81,N('[1]ATS USA'!P81)))</f>
        <v/>
      </c>
      <c r="R81" s="10" t="str">
        <f>IF(MIN(N(INDEX([1]Parametros!H$16:H$20,MATCH($C81,[1]Parametros!$A$16:$A$20,0)))*$K81,N('[1]ATS USA'!Q81))&lt;=0,"",MIN(N(INDEX([1]Parametros!H$16:H$20,MATCH($C81,[1]Parametros!$A$16:$A$20,0)))*$K81,N('[1]ATS USA'!Q81)))</f>
        <v/>
      </c>
      <c r="S81" s="9" t="str">
        <f>IF(MIN(N(INDEX([1]Parametros!I$16:I$20,MATCH($C81,[1]Parametros!$A$16:$A$20,0)))*$K81,N('[1]ATS USA'!R81))&lt;=0,"",MIN(N(INDEX([1]Parametros!I$16:I$20,MATCH($C81,[1]Parametros!$A$16:$A$20,0)))*$K81,N('[1]ATS USA'!R81)))</f>
        <v/>
      </c>
      <c r="T81" s="10" t="str">
        <f>IF(MIN(N(INDEX([1]Parametros!J$16:J$20,MATCH($C81,[1]Parametros!$A$16:$A$20,0)))*$K81,N('[1]ATS USA'!S81))&lt;=0,"",MIN(N(INDEX([1]Parametros!J$16:J$20,MATCH($C81,[1]Parametros!$A$16:$A$20,0)))*$K81,N('[1]ATS USA'!S81)))</f>
        <v/>
      </c>
      <c r="U81" s="9" t="str">
        <f>IF(MIN(N(INDEX([1]Parametros!K$16:K$20,MATCH($C81,[1]Parametros!$A$16:$A$20,0)))*$K81,N('[1]ATS USA'!T81))&lt;=0,"",MIN(N(INDEX([1]Parametros!K$16:K$20,MATCH($C81,[1]Parametros!$A$16:$A$20,0)))*$K81,N('[1]ATS USA'!T81)))</f>
        <v/>
      </c>
      <c r="V81" s="9" t="str">
        <f>IF(MIN(N(INDEX([1]Parametros!L$16:L$20,MATCH($C81,[1]Parametros!$A$16:$A$20,0)))*$K81,N('[1]ATS USA'!U81))&lt;=0,"",MIN(N(INDEX([1]Parametros!L$16:L$20,MATCH($C81,[1]Parametros!$A$16:$A$20,0)))*$K81,N('[1]ATS USA'!U81)))</f>
        <v/>
      </c>
      <c r="W81" s="9" t="str">
        <f>IF(MIN(N(INDEX([1]Parametros!M$16:M$20,MATCH($C81,[1]Parametros!$A$16:$A$20,0)))*$K81,N('[1]ATS USA'!V81))&lt;=0,"",MIN(N(INDEX([1]Parametros!M$16:M$20,MATCH($C81,[1]Parametros!$A$16:$A$20,0)))*$K81,N('[1]ATS USA'!V81)))</f>
        <v/>
      </c>
      <c r="X81" s="9" t="str">
        <f>IF(MIN(N(INDEX([1]Parametros!N$16:N$20,MATCH($C81,[1]Parametros!$A$16:$A$20,0)))*$K81,N('[1]ATS USA'!W81))&lt;=0,"",MIN(N(INDEX([1]Parametros!N$16:N$20,MATCH($C81,[1]Parametros!$A$16:$A$20,0)))*$K81,N('[1]ATS USA'!W81)))</f>
        <v/>
      </c>
      <c r="Y81" s="9" t="str">
        <f>IF(MIN(N(INDEX([1]Parametros!O$16:O$20,MATCH($C81,[1]Parametros!$A$16:$A$20,0)))*$K81,N('[1]ATS USA'!X81))&lt;=0,"",MIN(N(INDEX([1]Parametros!O$16:O$20,MATCH($C81,[1]Parametros!$A$16:$A$20,0)))*$K81,N('[1]ATS USA'!X81)))</f>
        <v/>
      </c>
      <c r="Z81" s="9" t="str">
        <f>IF(MIN(N(INDEX([1]Parametros!P$16:P$20,MATCH($C81,[1]Parametros!$A$16:$A$20,0)))*$K81,N('[1]ATS USA'!Y81))&lt;=0,"",MIN(N(INDEX([1]Parametros!P$16:P$20,MATCH($C81,[1]Parametros!$A$16:$A$20,0)))*$K81,N('[1]ATS USA'!Y81)))</f>
        <v/>
      </c>
      <c r="AA81" s="9" t="str">
        <f>IF(MIN(N(INDEX([1]Parametros!Q$16:Q$20,MATCH($C81,[1]Parametros!$A$16:$A$20,0)))*$K81,N('[1]ATS USA'!Z81))&lt;=0,"",MIN(N(INDEX([1]Parametros!Q$16:Q$20,MATCH($C81,[1]Parametros!$A$16:$A$20,0)))*$K81,N('[1]ATS USA'!Z81)))</f>
        <v/>
      </c>
      <c r="AB81" s="9" t="str">
        <f>IF(MIN(N(INDEX([1]Parametros!R$16:R$20,MATCH($C81,[1]Parametros!$A$16:$A$20,0)))*$K81,N('[1]ATS USA'!AA81))&lt;=0,"",MIN(N(INDEX([1]Parametros!R$16:R$20,MATCH($C81,[1]Parametros!$A$16:$A$20,0)))*$K81,N('[1]ATS USA'!AA81)))</f>
        <v/>
      </c>
      <c r="AC81" s="9" t="str">
        <f>IF(MIN(N(INDEX([1]Parametros!S$16:S$20,MATCH($C81,[1]Parametros!$A$16:$A$20,0)))*$K81,N('[1]ATS USA'!AB81))&lt;=0,"",MIN(N(INDEX([1]Parametros!S$16:S$20,MATCH($C81,[1]Parametros!$A$16:$A$20,0)))*$K81,N('[1]ATS USA'!AB81)))</f>
        <v/>
      </c>
      <c r="AD81" s="9" t="str">
        <f>IF(MIN(N(INDEX([1]Parametros!T$16:T$20,MATCH($C81,[1]Parametros!$A$16:$A$20,0)))*$K81,N('[1]ATS USA'!AC81))&lt;=0,"",MIN(N(INDEX([1]Parametros!T$16:T$20,MATCH($C81,[1]Parametros!$A$16:$A$20,0)))*$K81,N('[1]ATS USA'!AC81)))</f>
        <v/>
      </c>
      <c r="AE81" s="9" t="str">
        <f>IF(MIN(N(INDEX([1]Parametros!U$16:U$20,MATCH($C81,[1]Parametros!$A$16:$A$20,0)))*$K81,N('[1]ATS USA'!AD81))&lt;=0,"",MIN(N(INDEX([1]Parametros!U$16:U$20,MATCH($C81,[1]Parametros!$A$16:$A$20,0)))*$K81,N('[1]ATS USA'!AD81)))</f>
        <v/>
      </c>
      <c r="AF81" s="11">
        <f t="shared" si="6"/>
        <v>0</v>
      </c>
      <c r="AG81" s="12" t="str">
        <f t="shared" si="7"/>
        <v>OK</v>
      </c>
      <c r="AH81" s="6">
        <f t="shared" si="8"/>
        <v>0</v>
      </c>
      <c r="AI81" s="9">
        <f t="shared" si="9"/>
        <v>0</v>
      </c>
      <c r="AJ81" s="13">
        <f>IF(LEFT($A81,8)="Tránsito",IFERROR(_xlfn.XLOOKUP(--$E81,'[1]Reserva Territorios'!$C:$C,'[1]Reserva Territorios'!$J:$J),0),0)</f>
        <v>0</v>
      </c>
      <c r="AK81" s="13">
        <f t="shared" si="10"/>
        <v>0</v>
      </c>
    </row>
    <row r="82" spans="1:37" ht="48.95" customHeight="1" x14ac:dyDescent="0.25">
      <c r="A82" s="3"/>
      <c r="B82" s="4"/>
      <c r="C82" s="4"/>
      <c r="D82" s="4"/>
      <c r="E82" s="4"/>
      <c r="F82" s="4"/>
      <c r="G82" s="4"/>
      <c r="H82" s="5"/>
      <c r="I82" s="6"/>
      <c r="J82" s="7"/>
      <c r="K82" s="15">
        <f>SUM(K2:K81)</f>
        <v>85</v>
      </c>
      <c r="L82" s="15">
        <f t="shared" ref="L82:AF82" si="11">SUM(L2:L81)</f>
        <v>0</v>
      </c>
      <c r="M82" s="15">
        <f t="shared" si="11"/>
        <v>0</v>
      </c>
      <c r="N82" s="15">
        <f t="shared" si="11"/>
        <v>0</v>
      </c>
      <c r="O82" s="15">
        <f t="shared" si="11"/>
        <v>0</v>
      </c>
      <c r="P82" s="15">
        <f t="shared" si="11"/>
        <v>14</v>
      </c>
      <c r="Q82" s="15">
        <f t="shared" si="11"/>
        <v>12</v>
      </c>
      <c r="R82" s="15">
        <f t="shared" si="11"/>
        <v>38</v>
      </c>
      <c r="S82" s="15">
        <f t="shared" si="11"/>
        <v>76</v>
      </c>
      <c r="T82" s="15">
        <f t="shared" si="11"/>
        <v>136</v>
      </c>
      <c r="U82" s="15">
        <f t="shared" si="11"/>
        <v>98</v>
      </c>
      <c r="V82" s="15">
        <f t="shared" si="11"/>
        <v>80</v>
      </c>
      <c r="W82" s="15">
        <f t="shared" si="11"/>
        <v>122</v>
      </c>
      <c r="X82" s="15">
        <f t="shared" si="11"/>
        <v>94</v>
      </c>
      <c r="Y82" s="15">
        <f t="shared" si="11"/>
        <v>94</v>
      </c>
      <c r="Z82" s="15">
        <f t="shared" si="11"/>
        <v>47</v>
      </c>
      <c r="AA82" s="15">
        <f t="shared" si="11"/>
        <v>43</v>
      </c>
      <c r="AB82" s="15">
        <f t="shared" si="11"/>
        <v>47</v>
      </c>
      <c r="AC82" s="15">
        <f t="shared" si="11"/>
        <v>0</v>
      </c>
      <c r="AD82" s="15">
        <f t="shared" si="11"/>
        <v>0</v>
      </c>
      <c r="AE82" s="15">
        <f t="shared" si="11"/>
        <v>0</v>
      </c>
      <c r="AF82" s="15">
        <f t="shared" si="11"/>
        <v>901</v>
      </c>
      <c r="AG82" s="12"/>
      <c r="AH82" s="6">
        <f>SUM(AH2:AH81)</f>
        <v>38643</v>
      </c>
      <c r="AI82" s="9"/>
      <c r="AJ82" s="13"/>
      <c r="AK82" s="13"/>
    </row>
    <row r="84" spans="1:37" x14ac:dyDescent="0.25">
      <c r="AF84" s="11">
        <f>SUM(AF2:AF82)</f>
        <v>1802</v>
      </c>
      <c r="AG84" s="14"/>
      <c r="AH84" s="14"/>
      <c r="AI84" s="14"/>
      <c r="AJ84" s="14">
        <f>SUM(AJ2:AJ82)</f>
        <v>0</v>
      </c>
      <c r="AK84" s="14">
        <f>SUM(AK2:AK82)</f>
        <v>901</v>
      </c>
    </row>
  </sheetData>
  <autoFilter ref="B1:AI82" xr:uid="{00000000-0001-0000-0200-000000000000}">
    <filterColumn colId="9">
      <filters>
        <filter val="1"/>
        <filter val="104"/>
        <filter val="2"/>
        <filter val="3"/>
        <filter val="4"/>
        <filter val="5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 ECOMM - MKT 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MONTOYA</dc:creator>
  <cp:lastModifiedBy>SEBASTIAN MONTOYA</cp:lastModifiedBy>
  <dcterms:created xsi:type="dcterms:W3CDTF">2026-08-08T22:45:08Z</dcterms:created>
  <dcterms:modified xsi:type="dcterms:W3CDTF">2026-08-08T22:45:31Z</dcterms:modified>
</cp:coreProperties>
</file>