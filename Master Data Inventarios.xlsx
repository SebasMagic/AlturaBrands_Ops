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8_{DDA8CD55-482A-41B4-8B3A-7C1E6A5ABB78}" xr6:coauthVersionLast="47" xr6:coauthVersionMax="47" xr10:uidLastSave="{00000000-0000-0000-0000-000000000000}"/>
  <bookViews>
    <workbookView xWindow="-120" yWindow="-120" windowWidth="29040" windowHeight="15720" xr2:uid="{390B6A95-CC2D-4677-95D7-F673B3A1DBA2}"/>
  </bookViews>
  <sheets>
    <sheet name="Master Data" sheetId="1" r:id="rId1"/>
  </sheets>
  <externalReferences>
    <externalReference r:id="rId2"/>
  </externalReferences>
  <definedNames>
    <definedName name="_xlnm._FilterDatabase" localSheetId="0" hidden="1">'Master Data'!$B$1:$AF$426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425" i="1" l="1"/>
  <c r="A425" i="1"/>
  <c r="AF424" i="1"/>
  <c r="A424" i="1"/>
  <c r="AF423" i="1"/>
  <c r="A423" i="1"/>
  <c r="AF422" i="1"/>
  <c r="A422" i="1"/>
  <c r="AF421" i="1"/>
  <c r="A421" i="1"/>
  <c r="AF420" i="1"/>
  <c r="A420" i="1"/>
  <c r="AF419" i="1"/>
  <c r="A419" i="1"/>
  <c r="AF418" i="1"/>
  <c r="A418" i="1"/>
  <c r="AF417" i="1"/>
  <c r="A417" i="1"/>
  <c r="AF416" i="1"/>
  <c r="A416" i="1"/>
  <c r="AF415" i="1"/>
  <c r="A415" i="1"/>
  <c r="AF414" i="1"/>
  <c r="A414" i="1"/>
  <c r="AF413" i="1"/>
  <c r="A413" i="1"/>
  <c r="AF412" i="1"/>
  <c r="A412" i="1"/>
  <c r="AF411" i="1"/>
  <c r="A411" i="1"/>
  <c r="AF410" i="1"/>
  <c r="A410" i="1"/>
  <c r="AF409" i="1"/>
  <c r="A409" i="1"/>
  <c r="AF408" i="1"/>
  <c r="A408" i="1"/>
  <c r="AF407" i="1"/>
  <c r="A407" i="1"/>
  <c r="AF406" i="1"/>
  <c r="A406" i="1"/>
  <c r="AF405" i="1"/>
  <c r="A405" i="1"/>
  <c r="AF404" i="1"/>
  <c r="A404" i="1"/>
  <c r="AF403" i="1"/>
  <c r="A403" i="1"/>
  <c r="AF402" i="1"/>
  <c r="A402" i="1"/>
  <c r="AF401" i="1"/>
  <c r="A401" i="1"/>
  <c r="AF400" i="1"/>
  <c r="A400" i="1"/>
  <c r="AF399" i="1"/>
  <c r="A399" i="1"/>
  <c r="AF398" i="1"/>
  <c r="A398" i="1"/>
  <c r="AF397" i="1"/>
  <c r="A397" i="1"/>
  <c r="AF396" i="1"/>
  <c r="A396" i="1"/>
  <c r="AF395" i="1"/>
  <c r="A395" i="1"/>
  <c r="AF394" i="1"/>
  <c r="A394" i="1"/>
  <c r="AF393" i="1"/>
  <c r="A393" i="1"/>
  <c r="AF392" i="1"/>
  <c r="A392" i="1"/>
  <c r="AF391" i="1"/>
  <c r="A391" i="1"/>
  <c r="AF390" i="1"/>
  <c r="A390" i="1"/>
  <c r="AF389" i="1"/>
  <c r="A389" i="1"/>
  <c r="AF388" i="1"/>
  <c r="A388" i="1"/>
  <c r="AF387" i="1"/>
  <c r="A387" i="1"/>
  <c r="AF386" i="1"/>
  <c r="A386" i="1"/>
  <c r="AF385" i="1"/>
  <c r="A385" i="1"/>
  <c r="AF384" i="1"/>
  <c r="A384" i="1"/>
  <c r="AF383" i="1"/>
  <c r="A383" i="1"/>
  <c r="AF382" i="1"/>
  <c r="A382" i="1"/>
  <c r="AF381" i="1"/>
  <c r="A381" i="1"/>
  <c r="AF380" i="1"/>
  <c r="A380" i="1"/>
  <c r="AF379" i="1"/>
  <c r="A379" i="1"/>
  <c r="AF378" i="1"/>
  <c r="A378" i="1"/>
  <c r="AF377" i="1"/>
  <c r="A377" i="1"/>
  <c r="AF376" i="1"/>
  <c r="A376" i="1"/>
  <c r="AF375" i="1"/>
  <c r="A375" i="1"/>
  <c r="AF374" i="1"/>
  <c r="A374" i="1"/>
  <c r="AF373" i="1"/>
  <c r="A373" i="1"/>
  <c r="AF372" i="1"/>
  <c r="A372" i="1"/>
  <c r="AF371" i="1"/>
  <c r="A371" i="1"/>
  <c r="AF370" i="1"/>
  <c r="A370" i="1"/>
  <c r="AF369" i="1"/>
  <c r="A369" i="1"/>
  <c r="AF368" i="1"/>
  <c r="A368" i="1"/>
  <c r="AF367" i="1"/>
  <c r="A367" i="1"/>
  <c r="AF366" i="1"/>
  <c r="A366" i="1"/>
  <c r="AF365" i="1"/>
  <c r="A365" i="1"/>
  <c r="AF364" i="1"/>
  <c r="A364" i="1"/>
  <c r="AF363" i="1"/>
  <c r="A363" i="1"/>
  <c r="AF362" i="1"/>
  <c r="A362" i="1"/>
  <c r="AF361" i="1"/>
  <c r="A361" i="1"/>
  <c r="AF360" i="1"/>
  <c r="A360" i="1"/>
  <c r="AF359" i="1"/>
  <c r="A359" i="1"/>
  <c r="AF358" i="1"/>
  <c r="A358" i="1"/>
  <c r="AF357" i="1"/>
  <c r="A357" i="1"/>
  <c r="AF356" i="1"/>
  <c r="A356" i="1"/>
  <c r="AF355" i="1"/>
  <c r="A355" i="1"/>
  <c r="AF354" i="1"/>
  <c r="B354" i="1"/>
  <c r="A354" i="1"/>
  <c r="AF353" i="1"/>
  <c r="B353" i="1"/>
  <c r="A353" i="1"/>
  <c r="AF352" i="1"/>
  <c r="B352" i="1"/>
  <c r="A352" i="1"/>
  <c r="AF351" i="1"/>
  <c r="B351" i="1"/>
  <c r="A351" i="1"/>
  <c r="AF350" i="1"/>
  <c r="B350" i="1"/>
  <c r="A350" i="1"/>
  <c r="AF349" i="1"/>
  <c r="B349" i="1"/>
  <c r="A349" i="1"/>
  <c r="AF348" i="1"/>
  <c r="B348" i="1"/>
  <c r="A348" i="1"/>
  <c r="AF347" i="1"/>
  <c r="B347" i="1"/>
  <c r="A347" i="1"/>
  <c r="AF346" i="1"/>
  <c r="B346" i="1"/>
  <c r="A346" i="1"/>
  <c r="AF345" i="1"/>
  <c r="B345" i="1"/>
  <c r="A345" i="1"/>
  <c r="AF344" i="1"/>
  <c r="B344" i="1"/>
  <c r="A344" i="1"/>
  <c r="AF343" i="1"/>
  <c r="B343" i="1"/>
  <c r="A343" i="1"/>
  <c r="AF342" i="1"/>
  <c r="B342" i="1"/>
  <c r="A342" i="1"/>
  <c r="AF341" i="1"/>
  <c r="B341" i="1"/>
  <c r="A341" i="1"/>
  <c r="AF340" i="1"/>
  <c r="B340" i="1"/>
  <c r="A340" i="1"/>
  <c r="AF339" i="1"/>
  <c r="B339" i="1"/>
  <c r="A339" i="1"/>
  <c r="AF338" i="1"/>
  <c r="B338" i="1"/>
  <c r="A338" i="1"/>
  <c r="AF337" i="1"/>
  <c r="B337" i="1"/>
  <c r="A337" i="1"/>
  <c r="AF336" i="1"/>
  <c r="B336" i="1"/>
  <c r="A336" i="1"/>
  <c r="AF335" i="1"/>
  <c r="B335" i="1"/>
  <c r="A335" i="1"/>
  <c r="AF334" i="1"/>
  <c r="B334" i="1"/>
  <c r="A334" i="1"/>
  <c r="AF333" i="1"/>
  <c r="B333" i="1"/>
  <c r="A333" i="1"/>
  <c r="AF332" i="1"/>
  <c r="B332" i="1"/>
  <c r="A332" i="1"/>
  <c r="AF331" i="1"/>
  <c r="B331" i="1"/>
  <c r="A331" i="1"/>
  <c r="AF330" i="1"/>
  <c r="B330" i="1"/>
  <c r="A330" i="1"/>
  <c r="AF329" i="1"/>
  <c r="B329" i="1"/>
  <c r="A329" i="1"/>
  <c r="AF328" i="1"/>
  <c r="B328" i="1"/>
  <c r="A328" i="1"/>
  <c r="AF327" i="1"/>
  <c r="B327" i="1"/>
  <c r="A327" i="1"/>
  <c r="AF326" i="1"/>
  <c r="B326" i="1"/>
  <c r="A326" i="1"/>
  <c r="AF325" i="1"/>
  <c r="B325" i="1"/>
  <c r="A325" i="1"/>
  <c r="AF324" i="1"/>
  <c r="B324" i="1"/>
  <c r="A324" i="1"/>
  <c r="AF323" i="1"/>
  <c r="B323" i="1"/>
  <c r="A323" i="1"/>
  <c r="AF322" i="1"/>
  <c r="B322" i="1"/>
  <c r="A322" i="1"/>
  <c r="AF321" i="1"/>
  <c r="B321" i="1"/>
  <c r="A321" i="1"/>
  <c r="AF320" i="1"/>
  <c r="B320" i="1"/>
  <c r="A320" i="1"/>
  <c r="AF319" i="1"/>
  <c r="B319" i="1"/>
  <c r="A319" i="1"/>
  <c r="AF318" i="1"/>
  <c r="B318" i="1"/>
  <c r="A318" i="1"/>
  <c r="AF317" i="1"/>
  <c r="B317" i="1"/>
  <c r="A317" i="1"/>
  <c r="AF316" i="1"/>
  <c r="B316" i="1"/>
  <c r="A316" i="1"/>
  <c r="AF315" i="1"/>
  <c r="B315" i="1"/>
  <c r="A315" i="1"/>
  <c r="AF314" i="1"/>
  <c r="B314" i="1"/>
  <c r="A314" i="1"/>
  <c r="AF313" i="1"/>
  <c r="B313" i="1"/>
  <c r="A313" i="1"/>
  <c r="AF312" i="1"/>
  <c r="B312" i="1"/>
  <c r="A312" i="1"/>
  <c r="AF311" i="1"/>
  <c r="B311" i="1"/>
  <c r="A311" i="1"/>
  <c r="AF310" i="1"/>
  <c r="B310" i="1"/>
  <c r="A310" i="1"/>
  <c r="AF309" i="1"/>
  <c r="B309" i="1"/>
  <c r="A309" i="1"/>
  <c r="AF308" i="1"/>
  <c r="B308" i="1"/>
  <c r="A308" i="1"/>
  <c r="AF307" i="1"/>
  <c r="B307" i="1"/>
  <c r="A307" i="1"/>
  <c r="AF306" i="1"/>
  <c r="B306" i="1"/>
  <c r="A306" i="1"/>
  <c r="AF305" i="1"/>
  <c r="B305" i="1"/>
  <c r="A305" i="1"/>
  <c r="AF304" i="1"/>
  <c r="B304" i="1"/>
  <c r="A304" i="1"/>
  <c r="AF303" i="1"/>
  <c r="B303" i="1"/>
  <c r="A303" i="1"/>
  <c r="AF302" i="1"/>
  <c r="B302" i="1"/>
  <c r="A302" i="1"/>
  <c r="AF301" i="1"/>
  <c r="B301" i="1"/>
  <c r="A301" i="1"/>
  <c r="AF300" i="1"/>
  <c r="B300" i="1"/>
  <c r="A300" i="1"/>
  <c r="AF299" i="1"/>
  <c r="B299" i="1"/>
  <c r="A299" i="1"/>
  <c r="AF298" i="1"/>
  <c r="B298" i="1"/>
  <c r="A298" i="1"/>
  <c r="AF297" i="1"/>
  <c r="B297" i="1"/>
  <c r="A297" i="1"/>
  <c r="AF296" i="1"/>
  <c r="B296" i="1"/>
  <c r="A296" i="1"/>
  <c r="AF295" i="1"/>
  <c r="B295" i="1"/>
  <c r="A295" i="1"/>
  <c r="AF294" i="1"/>
  <c r="B294" i="1"/>
  <c r="A294" i="1"/>
  <c r="AF293" i="1"/>
  <c r="B293" i="1"/>
  <c r="A293" i="1"/>
  <c r="AF292" i="1"/>
  <c r="B292" i="1"/>
  <c r="A292" i="1"/>
  <c r="AF291" i="1"/>
  <c r="B291" i="1"/>
  <c r="A291" i="1"/>
  <c r="AF290" i="1"/>
  <c r="B290" i="1"/>
  <c r="A290" i="1"/>
  <c r="AF289" i="1"/>
  <c r="B289" i="1"/>
  <c r="A289" i="1"/>
  <c r="AF288" i="1"/>
  <c r="B288" i="1"/>
  <c r="A288" i="1"/>
  <c r="AF287" i="1"/>
  <c r="B287" i="1"/>
  <c r="A287" i="1"/>
  <c r="AF286" i="1"/>
  <c r="B286" i="1"/>
  <c r="A286" i="1"/>
  <c r="AF285" i="1"/>
  <c r="A285" i="1"/>
  <c r="AF284" i="1"/>
  <c r="A284" i="1"/>
  <c r="AF283" i="1"/>
  <c r="A283" i="1"/>
  <c r="AF282" i="1"/>
  <c r="A282" i="1"/>
  <c r="AF281" i="1"/>
  <c r="A281" i="1"/>
  <c r="AF280" i="1"/>
  <c r="A280" i="1"/>
  <c r="AF279" i="1"/>
  <c r="A279" i="1"/>
  <c r="AF278" i="1"/>
  <c r="A278" i="1"/>
  <c r="AF277" i="1"/>
  <c r="A277" i="1"/>
  <c r="AF276" i="1"/>
  <c r="A276" i="1"/>
  <c r="AF275" i="1"/>
  <c r="A275" i="1"/>
  <c r="AF274" i="1"/>
  <c r="A274" i="1"/>
  <c r="AF273" i="1"/>
  <c r="A273" i="1"/>
  <c r="AF272" i="1"/>
  <c r="A272" i="1"/>
  <c r="AF271" i="1"/>
  <c r="A271" i="1"/>
  <c r="AF270" i="1"/>
  <c r="A270" i="1"/>
  <c r="AF269" i="1"/>
  <c r="A269" i="1"/>
  <c r="AF268" i="1"/>
  <c r="A268" i="1"/>
  <c r="AF267" i="1"/>
  <c r="A267" i="1"/>
  <c r="AF266" i="1"/>
  <c r="A266" i="1"/>
  <c r="AF265" i="1"/>
  <c r="A265" i="1"/>
  <c r="AF264" i="1"/>
  <c r="A264" i="1"/>
  <c r="AF263" i="1"/>
  <c r="A263" i="1"/>
  <c r="AF262" i="1"/>
  <c r="A262" i="1"/>
  <c r="AF261" i="1"/>
  <c r="A261" i="1"/>
  <c r="AF260" i="1"/>
  <c r="A260" i="1"/>
  <c r="AF259" i="1"/>
  <c r="A259" i="1"/>
  <c r="AF258" i="1"/>
  <c r="A258" i="1"/>
  <c r="AF257" i="1"/>
  <c r="A257" i="1"/>
  <c r="AF256" i="1"/>
  <c r="A256" i="1"/>
  <c r="AF255" i="1"/>
  <c r="A255" i="1"/>
  <c r="AF254" i="1"/>
  <c r="A254" i="1"/>
  <c r="AF253" i="1"/>
  <c r="A253" i="1"/>
  <c r="AF252" i="1"/>
  <c r="A252" i="1"/>
  <c r="AF251" i="1"/>
  <c r="A251" i="1"/>
  <c r="AF250" i="1"/>
  <c r="A250" i="1"/>
  <c r="AF249" i="1"/>
  <c r="A249" i="1"/>
  <c r="AF248" i="1"/>
  <c r="A248" i="1"/>
  <c r="AF247" i="1"/>
  <c r="A247" i="1"/>
  <c r="AF246" i="1"/>
  <c r="A246" i="1"/>
  <c r="AF245" i="1"/>
  <c r="A245" i="1"/>
  <c r="AF244" i="1"/>
  <c r="A244" i="1"/>
  <c r="AF243" i="1"/>
  <c r="A243" i="1"/>
  <c r="AF242" i="1"/>
  <c r="A242" i="1"/>
  <c r="AF241" i="1"/>
  <c r="A241" i="1"/>
  <c r="AF240" i="1"/>
  <c r="A240" i="1"/>
  <c r="AF239" i="1"/>
  <c r="A239" i="1"/>
  <c r="AF238" i="1"/>
  <c r="A238" i="1"/>
  <c r="AF237" i="1"/>
  <c r="A237" i="1"/>
  <c r="AF236" i="1"/>
  <c r="A236" i="1"/>
  <c r="AF235" i="1"/>
  <c r="A235" i="1"/>
  <c r="AF234" i="1"/>
  <c r="A234" i="1"/>
  <c r="AF233" i="1"/>
  <c r="A233" i="1"/>
  <c r="AF232" i="1"/>
  <c r="A232" i="1"/>
  <c r="AF231" i="1"/>
  <c r="A231" i="1"/>
  <c r="AF230" i="1"/>
  <c r="A230" i="1"/>
  <c r="AF229" i="1"/>
  <c r="A229" i="1"/>
  <c r="AF228" i="1"/>
  <c r="A228" i="1"/>
  <c r="AF227" i="1"/>
  <c r="A227" i="1"/>
  <c r="AF226" i="1"/>
  <c r="A226" i="1"/>
  <c r="AF225" i="1"/>
  <c r="A225" i="1"/>
  <c r="AF224" i="1"/>
  <c r="A224" i="1"/>
  <c r="AF223" i="1"/>
  <c r="A223" i="1"/>
  <c r="AF222" i="1"/>
  <c r="A222" i="1"/>
  <c r="AF221" i="1"/>
  <c r="A221" i="1"/>
  <c r="AF220" i="1"/>
  <c r="A220" i="1"/>
  <c r="AF219" i="1"/>
  <c r="A219" i="1"/>
  <c r="AF218" i="1"/>
  <c r="A218" i="1"/>
  <c r="AF217" i="1"/>
  <c r="A217" i="1"/>
  <c r="AF216" i="1"/>
  <c r="A216" i="1"/>
  <c r="AF215" i="1"/>
  <c r="A215" i="1"/>
  <c r="AF214" i="1"/>
  <c r="A214" i="1"/>
  <c r="AF213" i="1"/>
  <c r="A213" i="1"/>
  <c r="AF212" i="1"/>
  <c r="A212" i="1"/>
  <c r="AF211" i="1"/>
  <c r="A211" i="1"/>
  <c r="AF210" i="1"/>
  <c r="A210" i="1"/>
  <c r="AF209" i="1"/>
  <c r="A209" i="1"/>
  <c r="AF208" i="1"/>
  <c r="A208" i="1"/>
  <c r="AF207" i="1"/>
  <c r="A207" i="1"/>
  <c r="AF206" i="1"/>
  <c r="A206" i="1"/>
  <c r="AF205" i="1"/>
  <c r="A205" i="1"/>
  <c r="AF204" i="1"/>
  <c r="A204" i="1"/>
  <c r="AF203" i="1"/>
  <c r="A203" i="1"/>
  <c r="AF202" i="1"/>
  <c r="A202" i="1"/>
  <c r="AF201" i="1"/>
  <c r="A201" i="1"/>
  <c r="AF200" i="1"/>
  <c r="A200" i="1"/>
  <c r="AF199" i="1"/>
  <c r="A199" i="1"/>
  <c r="AF198" i="1"/>
  <c r="A198" i="1"/>
  <c r="AF197" i="1"/>
  <c r="A197" i="1"/>
  <c r="AF196" i="1"/>
  <c r="A196" i="1"/>
  <c r="AF195" i="1"/>
  <c r="A195" i="1"/>
  <c r="AF194" i="1"/>
  <c r="A194" i="1"/>
  <c r="AF193" i="1"/>
  <c r="A193" i="1"/>
  <c r="AF192" i="1"/>
  <c r="A192" i="1"/>
  <c r="AF191" i="1"/>
  <c r="A191" i="1"/>
  <c r="AF190" i="1"/>
  <c r="A190" i="1"/>
  <c r="AF189" i="1"/>
  <c r="A189" i="1"/>
  <c r="AF188" i="1"/>
  <c r="A188" i="1"/>
  <c r="AF187" i="1"/>
  <c r="A187" i="1"/>
  <c r="AF186" i="1"/>
  <c r="A186" i="1"/>
  <c r="AF185" i="1"/>
  <c r="A185" i="1"/>
  <c r="AF184" i="1"/>
  <c r="A184" i="1"/>
  <c r="AF183" i="1"/>
  <c r="A183" i="1"/>
  <c r="AF182" i="1"/>
  <c r="A182" i="1"/>
  <c r="AF181" i="1"/>
  <c r="A181" i="1"/>
  <c r="AF180" i="1"/>
  <c r="A180" i="1"/>
  <c r="AF179" i="1"/>
  <c r="A179" i="1"/>
  <c r="AF178" i="1"/>
  <c r="A178" i="1"/>
  <c r="AF177" i="1"/>
  <c r="A177" i="1"/>
  <c r="AF176" i="1"/>
  <c r="A176" i="1"/>
  <c r="AF175" i="1"/>
  <c r="A175" i="1"/>
  <c r="AF174" i="1"/>
  <c r="A174" i="1"/>
  <c r="AF173" i="1"/>
  <c r="A173" i="1"/>
  <c r="AF172" i="1"/>
  <c r="A172" i="1"/>
  <c r="AF171" i="1"/>
  <c r="A171" i="1"/>
  <c r="AF170" i="1"/>
  <c r="A170" i="1"/>
  <c r="AF169" i="1"/>
  <c r="A169" i="1"/>
  <c r="AF168" i="1"/>
  <c r="A168" i="1"/>
  <c r="AF167" i="1"/>
  <c r="A167" i="1"/>
  <c r="AF166" i="1"/>
  <c r="A166" i="1"/>
  <c r="AF165" i="1"/>
  <c r="A165" i="1"/>
  <c r="AF164" i="1"/>
  <c r="A164" i="1"/>
  <c r="AF163" i="1"/>
  <c r="A163" i="1"/>
  <c r="AF162" i="1"/>
  <c r="A162" i="1"/>
  <c r="AF161" i="1"/>
  <c r="A161" i="1"/>
  <c r="AF160" i="1"/>
  <c r="A160" i="1"/>
  <c r="AF159" i="1"/>
  <c r="A159" i="1"/>
  <c r="AF158" i="1"/>
  <c r="A158" i="1"/>
  <c r="AF157" i="1"/>
  <c r="A157" i="1"/>
  <c r="AF156" i="1"/>
  <c r="A156" i="1"/>
  <c r="AF155" i="1"/>
  <c r="A155" i="1"/>
  <c r="AF154" i="1"/>
  <c r="A154" i="1"/>
  <c r="AF153" i="1"/>
  <c r="A153" i="1"/>
  <c r="AF152" i="1"/>
  <c r="A152" i="1"/>
  <c r="AF151" i="1"/>
  <c r="A151" i="1"/>
  <c r="AF150" i="1"/>
  <c r="A150" i="1"/>
  <c r="AF149" i="1"/>
  <c r="A149" i="1"/>
  <c r="AF148" i="1"/>
  <c r="A148" i="1"/>
  <c r="AF147" i="1"/>
  <c r="A147" i="1"/>
  <c r="AF146" i="1"/>
  <c r="A146" i="1"/>
  <c r="AF145" i="1"/>
  <c r="A145" i="1"/>
  <c r="AF144" i="1"/>
  <c r="A144" i="1"/>
  <c r="AF143" i="1"/>
  <c r="A143" i="1"/>
  <c r="AF142" i="1"/>
  <c r="A142" i="1"/>
  <c r="AF141" i="1"/>
  <c r="A141" i="1"/>
  <c r="AF140" i="1"/>
  <c r="A140" i="1"/>
  <c r="AF139" i="1"/>
  <c r="A139" i="1"/>
  <c r="AF138" i="1"/>
  <c r="A138" i="1"/>
  <c r="AF137" i="1"/>
  <c r="A137" i="1"/>
  <c r="AF136" i="1"/>
  <c r="A136" i="1"/>
  <c r="AF135" i="1"/>
  <c r="A135" i="1"/>
  <c r="AF134" i="1"/>
  <c r="A134" i="1"/>
  <c r="AF133" i="1"/>
  <c r="A133" i="1"/>
  <c r="AF132" i="1"/>
  <c r="A132" i="1"/>
  <c r="AF131" i="1"/>
  <c r="A131" i="1"/>
  <c r="AF130" i="1"/>
  <c r="A130" i="1"/>
  <c r="AF129" i="1"/>
  <c r="A129" i="1"/>
  <c r="AF128" i="1"/>
  <c r="A128" i="1"/>
  <c r="AF127" i="1"/>
  <c r="A127" i="1"/>
  <c r="AF126" i="1"/>
  <c r="A126" i="1"/>
  <c r="AF125" i="1"/>
  <c r="A125" i="1"/>
  <c r="AF124" i="1"/>
  <c r="A124" i="1"/>
  <c r="AF123" i="1"/>
  <c r="A123" i="1"/>
  <c r="AF122" i="1"/>
  <c r="A122" i="1"/>
  <c r="AF121" i="1"/>
  <c r="A121" i="1"/>
  <c r="AF120" i="1"/>
  <c r="A120" i="1"/>
  <c r="AF119" i="1"/>
  <c r="A119" i="1"/>
  <c r="AF118" i="1"/>
  <c r="A118" i="1"/>
  <c r="AF117" i="1"/>
  <c r="A117" i="1"/>
  <c r="AF116" i="1"/>
  <c r="A116" i="1"/>
  <c r="AF115" i="1"/>
  <c r="A115" i="1"/>
  <c r="AF114" i="1"/>
  <c r="A114" i="1"/>
  <c r="AF113" i="1"/>
  <c r="A113" i="1"/>
  <c r="AF112" i="1"/>
  <c r="A112" i="1"/>
  <c r="AF111" i="1"/>
  <c r="A111" i="1"/>
  <c r="AF110" i="1"/>
  <c r="A110" i="1"/>
  <c r="AF109" i="1"/>
  <c r="A109" i="1"/>
  <c r="AF108" i="1"/>
  <c r="A108" i="1"/>
  <c r="AF107" i="1"/>
  <c r="A107" i="1"/>
  <c r="AF106" i="1"/>
  <c r="A106" i="1"/>
  <c r="AF105" i="1"/>
  <c r="A105" i="1"/>
  <c r="AF104" i="1"/>
  <c r="A104" i="1"/>
  <c r="AF103" i="1"/>
  <c r="A103" i="1"/>
  <c r="AF102" i="1"/>
  <c r="A102" i="1"/>
  <c r="AF101" i="1"/>
  <c r="A101" i="1"/>
  <c r="AF100" i="1"/>
  <c r="A100" i="1"/>
  <c r="AF99" i="1"/>
  <c r="A99" i="1"/>
  <c r="AF98" i="1"/>
  <c r="A98" i="1"/>
  <c r="AF97" i="1"/>
  <c r="A97" i="1"/>
  <c r="AF96" i="1"/>
  <c r="A96" i="1"/>
  <c r="AF95" i="1"/>
  <c r="A95" i="1"/>
  <c r="AF94" i="1"/>
  <c r="A94" i="1"/>
  <c r="AF93" i="1"/>
  <c r="A93" i="1"/>
  <c r="AF92" i="1"/>
  <c r="A92" i="1"/>
  <c r="AF91" i="1"/>
  <c r="A91" i="1"/>
  <c r="AF90" i="1"/>
  <c r="A90" i="1"/>
  <c r="AF89" i="1"/>
  <c r="A89" i="1"/>
  <c r="AF88" i="1"/>
  <c r="A88" i="1"/>
  <c r="AF87" i="1"/>
  <c r="A87" i="1"/>
  <c r="AF86" i="1"/>
  <c r="A86" i="1"/>
  <c r="AF85" i="1"/>
  <c r="A85" i="1"/>
  <c r="AF84" i="1"/>
  <c r="A84" i="1"/>
  <c r="AF83" i="1"/>
  <c r="A83" i="1"/>
  <c r="AF82" i="1"/>
  <c r="A82" i="1"/>
  <c r="AF81" i="1"/>
  <c r="A81" i="1"/>
  <c r="AF80" i="1"/>
  <c r="A80" i="1"/>
  <c r="AF79" i="1"/>
  <c r="A79" i="1"/>
  <c r="AF78" i="1"/>
  <c r="A78" i="1"/>
  <c r="AF77" i="1"/>
  <c r="A77" i="1"/>
  <c r="AF76" i="1"/>
  <c r="A76" i="1"/>
  <c r="AF75" i="1"/>
  <c r="A75" i="1"/>
  <c r="AF74" i="1"/>
  <c r="A74" i="1"/>
  <c r="AF73" i="1"/>
  <c r="A73" i="1"/>
  <c r="AF72" i="1"/>
  <c r="A72" i="1"/>
  <c r="AF71" i="1"/>
  <c r="A71" i="1"/>
  <c r="AF70" i="1"/>
  <c r="A70" i="1"/>
  <c r="AF69" i="1"/>
  <c r="A69" i="1"/>
  <c r="AF68" i="1"/>
  <c r="A68" i="1"/>
  <c r="AF67" i="1"/>
  <c r="A67" i="1"/>
  <c r="AF66" i="1"/>
  <c r="A66" i="1"/>
  <c r="AF65" i="1"/>
  <c r="A65" i="1"/>
  <c r="AF64" i="1"/>
  <c r="A64" i="1"/>
  <c r="AF63" i="1"/>
  <c r="A63" i="1"/>
  <c r="AF62" i="1"/>
  <c r="A62" i="1"/>
  <c r="AF61" i="1"/>
  <c r="A61" i="1"/>
  <c r="AF60" i="1"/>
  <c r="A60" i="1"/>
  <c r="AF59" i="1"/>
  <c r="A59" i="1"/>
  <c r="AF58" i="1"/>
  <c r="A58" i="1"/>
  <c r="AF57" i="1"/>
  <c r="A57" i="1"/>
  <c r="AF56" i="1"/>
  <c r="A56" i="1"/>
  <c r="AF55" i="1"/>
  <c r="A55" i="1"/>
  <c r="AF54" i="1"/>
  <c r="A54" i="1"/>
  <c r="AF53" i="1"/>
  <c r="A53" i="1"/>
  <c r="AF52" i="1"/>
  <c r="A52" i="1"/>
  <c r="AF51" i="1"/>
  <c r="A51" i="1"/>
  <c r="AF50" i="1"/>
  <c r="A50" i="1"/>
  <c r="AF49" i="1"/>
  <c r="A49" i="1"/>
  <c r="AF48" i="1"/>
  <c r="A48" i="1"/>
  <c r="AF47" i="1"/>
  <c r="A47" i="1"/>
  <c r="AF46" i="1"/>
  <c r="A46" i="1"/>
  <c r="AF45" i="1"/>
  <c r="A45" i="1"/>
  <c r="AF44" i="1"/>
  <c r="A44" i="1"/>
  <c r="AF43" i="1"/>
  <c r="A43" i="1"/>
  <c r="AF42" i="1"/>
  <c r="A42" i="1"/>
  <c r="AF41" i="1"/>
  <c r="A41" i="1"/>
  <c r="AF40" i="1"/>
  <c r="A40" i="1"/>
  <c r="AF39" i="1"/>
  <c r="A39" i="1"/>
  <c r="AF38" i="1"/>
  <c r="A38" i="1"/>
  <c r="AF37" i="1"/>
  <c r="A37" i="1"/>
  <c r="AF36" i="1"/>
  <c r="A36" i="1"/>
  <c r="AF35" i="1"/>
  <c r="A35" i="1"/>
  <c r="AF34" i="1"/>
  <c r="A34" i="1"/>
  <c r="AF33" i="1"/>
  <c r="A33" i="1"/>
  <c r="AF32" i="1"/>
  <c r="A32" i="1"/>
  <c r="AF31" i="1"/>
  <c r="A31" i="1"/>
  <c r="AF30" i="1"/>
  <c r="A30" i="1"/>
  <c r="AF29" i="1"/>
  <c r="A29" i="1"/>
  <c r="AF28" i="1"/>
  <c r="A28" i="1"/>
  <c r="AF27" i="1"/>
  <c r="A27" i="1"/>
  <c r="AF26" i="1"/>
  <c r="A26" i="1"/>
  <c r="AF25" i="1"/>
  <c r="A25" i="1"/>
  <c r="AF24" i="1"/>
  <c r="A24" i="1"/>
  <c r="AF23" i="1"/>
  <c r="A23" i="1"/>
  <c r="AF22" i="1"/>
  <c r="A22" i="1"/>
  <c r="AF21" i="1"/>
  <c r="A21" i="1"/>
  <c r="AF20" i="1"/>
  <c r="A20" i="1"/>
  <c r="AF19" i="1"/>
  <c r="A19" i="1"/>
  <c r="AF18" i="1"/>
  <c r="A18" i="1"/>
  <c r="AF17" i="1"/>
  <c r="A17" i="1"/>
  <c r="AF16" i="1"/>
  <c r="A16" i="1"/>
  <c r="AF15" i="1"/>
  <c r="A15" i="1"/>
  <c r="AF14" i="1"/>
  <c r="A14" i="1"/>
  <c r="AF13" i="1"/>
  <c r="A13" i="1"/>
  <c r="AF12" i="1"/>
  <c r="A12" i="1"/>
  <c r="AF11" i="1"/>
  <c r="A11" i="1"/>
  <c r="AF10" i="1"/>
  <c r="A10" i="1"/>
  <c r="AF9" i="1"/>
  <c r="A9" i="1"/>
  <c r="AF8" i="1"/>
  <c r="A8" i="1"/>
  <c r="AF7" i="1"/>
  <c r="A7" i="1"/>
  <c r="AF6" i="1"/>
  <c r="A6" i="1"/>
  <c r="AF5" i="1"/>
  <c r="A5" i="1"/>
  <c r="AF4" i="1"/>
  <c r="A4" i="1"/>
  <c r="AF3" i="1"/>
  <c r="A3" i="1"/>
  <c r="AF2" i="1"/>
  <c r="AF426" i="1" s="1"/>
  <c r="A2" i="1"/>
</calcChain>
</file>

<file path=xl/sharedStrings.xml><?xml version="1.0" encoding="utf-8"?>
<sst xmlns="http://schemas.openxmlformats.org/spreadsheetml/2006/main" count="2797" uniqueCount="994">
  <si>
    <t>Imágenes</t>
  </si>
  <si>
    <t>Bodega</t>
  </si>
  <si>
    <t>Categoria</t>
  </si>
  <si>
    <t>Genero</t>
  </si>
  <si>
    <t>Modelo</t>
  </si>
  <si>
    <t>Material</t>
  </si>
  <si>
    <t>Descripcion material</t>
  </si>
  <si>
    <t>Color</t>
  </si>
  <si>
    <t>Precio PA (USD)</t>
  </si>
  <si>
    <t>US MSRP</t>
  </si>
  <si>
    <t>1</t>
  </si>
  <si>
    <t>2</t>
  </si>
  <si>
    <t>3</t>
  </si>
  <si>
    <t>4</t>
  </si>
  <si>
    <t>5</t>
  </si>
  <si>
    <t>5.5</t>
  </si>
  <si>
    <t>6</t>
  </si>
  <si>
    <t>6.5</t>
  </si>
  <si>
    <t>7</t>
  </si>
  <si>
    <t>7.5</t>
  </si>
  <si>
    <t>8</t>
  </si>
  <si>
    <t>8.5</t>
  </si>
  <si>
    <t>9</t>
  </si>
  <si>
    <t>9.5</t>
  </si>
  <si>
    <t>10</t>
  </si>
  <si>
    <t>10.5</t>
  </si>
  <si>
    <t>11</t>
  </si>
  <si>
    <t>11.5</t>
  </si>
  <si>
    <t>12</t>
  </si>
  <si>
    <t>13</t>
  </si>
  <si>
    <t>Otras tallas</t>
  </si>
  <si>
    <t>Total pares</t>
  </si>
  <si>
    <t>ATS USA</t>
  </si>
  <si>
    <t>Boulevard</t>
  </si>
  <si>
    <t>MEN</t>
  </si>
  <si>
    <t>ANCHORAGE BOOT IV WP</t>
  </si>
  <si>
    <t>1031166</t>
  </si>
  <si>
    <t>ANCHORAGE BOOT IV WP M-DARK EARTH/BLACK</t>
  </si>
  <si>
    <t>DARK EARTH/BLACK</t>
  </si>
  <si>
    <t>HOWSER II</t>
  </si>
  <si>
    <t>1023997</t>
  </si>
  <si>
    <t>HOWSER II M-TRIPLE BLACK</t>
  </si>
  <si>
    <t>TRIPLE BLACK</t>
  </si>
  <si>
    <t>1032952</t>
  </si>
  <si>
    <t>HOWSER II M-NAVAL ACADEMY CORDUROY</t>
  </si>
  <si>
    <t>NAVAL ACADEMY CORDUROY</t>
  </si>
  <si>
    <t>HOWSER III SLIDE</t>
  </si>
  <si>
    <t>1025550</t>
  </si>
  <si>
    <t>HOWSER III SLIDE M-CHARCOAL GREY FELT/BL</t>
  </si>
  <si>
    <t>CHARCOAL GREY FELT/BLACK</t>
  </si>
  <si>
    <t>1032618</t>
  </si>
  <si>
    <t>HOWSER III SLIDE M-BLACK QUILTED</t>
  </si>
  <si>
    <t>BLACK QUILTED</t>
  </si>
  <si>
    <t>1032620</t>
  </si>
  <si>
    <t>HOWSER III SLIDE M-FRONTIER FLANNEL RED</t>
  </si>
  <si>
    <t>FRONTIER FLANNEL RED</t>
  </si>
  <si>
    <t>1032621</t>
  </si>
  <si>
    <t>HOWSER III SLIDE M-FRONTIER FLANNEL BRIN</t>
  </si>
  <si>
    <t>FRONTIER FLANNEL BRINDLE</t>
  </si>
  <si>
    <t>JASPER</t>
  </si>
  <si>
    <t>1026592</t>
  </si>
  <si>
    <t>JASPER M-HAIRY BLACK/BLACK</t>
  </si>
  <si>
    <t>HAIRY BLACK/BLACK</t>
  </si>
  <si>
    <t>JASPER MERKO</t>
  </si>
  <si>
    <t>1032553</t>
  </si>
  <si>
    <t>JASPER MERKO M-BIRCH/PLAZA TAUPE</t>
  </si>
  <si>
    <t>BIRCH/PLAZA TAUPE</t>
  </si>
  <si>
    <t>1032554</t>
  </si>
  <si>
    <t>JASPER MERKO M-BLACK/BLACK</t>
  </si>
  <si>
    <t>BLACK/BLACK</t>
  </si>
  <si>
    <t>1032849</t>
  </si>
  <si>
    <t>JASPER MERKO M-STEEL GREY/VAPOR</t>
  </si>
  <si>
    <t>STEEL GREY/VAPOR</t>
  </si>
  <si>
    <t>JASPER ZIONIC</t>
  </si>
  <si>
    <t>1029585</t>
  </si>
  <si>
    <t>JASPER ZIONIC M-SAFARI/SKY CAPTAIN</t>
  </si>
  <si>
    <t>SAFARI/SKY CAPTAIN</t>
  </si>
  <si>
    <t>1031790</t>
  </si>
  <si>
    <t>JASPER ZIONIC M-DARK OLIVE/KHAKI</t>
  </si>
  <si>
    <t>DARK OLIVE/KHAKI</t>
  </si>
  <si>
    <t>1032645</t>
  </si>
  <si>
    <t>JASPER ZIONIC M-CHIPMUNK/HUCKLEBERRY</t>
  </si>
  <si>
    <t>CHIPMUNK/HUCKLEBERRY</t>
  </si>
  <si>
    <t>1032646</t>
  </si>
  <si>
    <t>JASPER ZIONIC M-MAGNET/STEEL GREY</t>
  </si>
  <si>
    <t>MAGNET/STEEL GREY</t>
  </si>
  <si>
    <t>1032647</t>
  </si>
  <si>
    <t>JASPER ZIONIC M-ABBEY STONE/LILY PAD</t>
  </si>
  <si>
    <t>ABBEY STONE/LILY PAD</t>
  </si>
  <si>
    <t>JASPER ZIONIC WP</t>
  </si>
  <si>
    <t>1032795</t>
  </si>
  <si>
    <t>JASPER ZIONIC WP M-BLACK/BLACK</t>
  </si>
  <si>
    <t>1032796</t>
  </si>
  <si>
    <t>JASPER ZIONIC WP M-STEEL GREY/BLACK</t>
  </si>
  <si>
    <t>STEEL GREY/BLACK</t>
  </si>
  <si>
    <t>KNX T-TOE</t>
  </si>
  <si>
    <t>1030622</t>
  </si>
  <si>
    <t>KNX T-TOE M-BLACK/BLACK</t>
  </si>
  <si>
    <t>1030623</t>
  </si>
  <si>
    <t>KNX T-TOE M-BIRCH/PLAZA TAUPE</t>
  </si>
  <si>
    <t>KS86</t>
  </si>
  <si>
    <t>1029593</t>
  </si>
  <si>
    <t>KS86 M-BLACK/BIRCH</t>
  </si>
  <si>
    <t>BLACK/BIRCH</t>
  </si>
  <si>
    <t>1031797</t>
  </si>
  <si>
    <t>KS86 M-DARK OLIVE/BLACK</t>
  </si>
  <si>
    <t>DARK OLIVE/BLACK</t>
  </si>
  <si>
    <t>1032651</t>
  </si>
  <si>
    <t>KS86 M-CHIPMUNK/BLACK</t>
  </si>
  <si>
    <t>CHIPMUNK/BLACK</t>
  </si>
  <si>
    <t>KS86 LEA</t>
  </si>
  <si>
    <t>1031822</t>
  </si>
  <si>
    <t>KS86 LEA M-BLACK</t>
  </si>
  <si>
    <t>BLACK</t>
  </si>
  <si>
    <t>1031824</t>
  </si>
  <si>
    <t>KS86 LEA M-BIRCH/STAR WHITE</t>
  </si>
  <si>
    <t>BIRCH/STAR WHITE</t>
  </si>
  <si>
    <t>TARGHEE IV OXFORD</t>
  </si>
  <si>
    <t>1031647</t>
  </si>
  <si>
    <t>TARGHEE IV OXFORD M-BLACK</t>
  </si>
  <si>
    <t>1031648</t>
  </si>
  <si>
    <t>TARGHEE IV OXFORD M-JAVA/BLACK</t>
  </si>
  <si>
    <t>JAVA/BLACK</t>
  </si>
  <si>
    <t>TARGHEE IV OXFORD WIDE</t>
  </si>
  <si>
    <t>1031173</t>
  </si>
  <si>
    <t>TARGHEE IV OXFORD WIDE M-JAVA/BLACK</t>
  </si>
  <si>
    <t>TARGHEE IV SLIP-ON</t>
  </si>
  <si>
    <t>1031163</t>
  </si>
  <si>
    <t>TARGHEE IV SLIP-ON M-JAVA/BLACK</t>
  </si>
  <si>
    <t>1031164</t>
  </si>
  <si>
    <t>TARGHEE IV SLIP-ON M-BLACK</t>
  </si>
  <si>
    <t>TARGHEE IV SLIP-ON WIDE</t>
  </si>
  <si>
    <t>1031174</t>
  </si>
  <si>
    <t>TARGHEE IV SLIP-ON WIDE M-JAVA/BLACK</t>
  </si>
  <si>
    <t>WOMEN</t>
  </si>
  <si>
    <t>ELLE BACKSTRAP</t>
  </si>
  <si>
    <t>1022620</t>
  </si>
  <si>
    <t>ELLE BACKSTRAP W-BLACK</t>
  </si>
  <si>
    <t>1027160</t>
  </si>
  <si>
    <t>ELLE BACKSTRAP W-BRINDLE/BIRCH</t>
  </si>
  <si>
    <t>BRINDLE/BIRCH</t>
  </si>
  <si>
    <t>1031702</t>
  </si>
  <si>
    <t>ELLE BACKSTRAP W-LILY PAD/BIRCH</t>
  </si>
  <si>
    <t>LILY PAD/BIRCH</t>
  </si>
  <si>
    <t>1031703</t>
  </si>
  <si>
    <t>ELLE BACKSTRAP W-GARNET/BIRCH</t>
  </si>
  <si>
    <t>GARNET/BIRCH</t>
  </si>
  <si>
    <t>1030141</t>
  </si>
  <si>
    <t>ELLE BACKSTRAP W-CORNSTALK/BLACK</t>
  </si>
  <si>
    <t>CORNSTALK/BLACK</t>
  </si>
  <si>
    <t>ELLE BACKSTRAP WIDE</t>
  </si>
  <si>
    <t>1030988</t>
  </si>
  <si>
    <t>ELLE BACKSTRAP WIDE W-BRINDLE/BIRCH</t>
  </si>
  <si>
    <t>1030987</t>
  </si>
  <si>
    <t>ELLE BACKSTRAP WIDE W-BLACK</t>
  </si>
  <si>
    <t>1032524</t>
  </si>
  <si>
    <t>ELLE BACKSTRAP WIDE W-CORNSTALK/BLACK</t>
  </si>
  <si>
    <t>ELLE MILA BACKSTRAP</t>
  </si>
  <si>
    <t>1031897</t>
  </si>
  <si>
    <t>ELLE MILA BACKSTRAP W-BRINDLE</t>
  </si>
  <si>
    <t>BRINDLE</t>
  </si>
  <si>
    <t>1031898</t>
  </si>
  <si>
    <t>ELLE MILA BACKSTRAP W-BLACK/BLACK</t>
  </si>
  <si>
    <t>1031901</t>
  </si>
  <si>
    <t>ELLE MILA BACKSTRAP W-BIRCH/BIRCH</t>
  </si>
  <si>
    <t>BIRCH/BIRCH</t>
  </si>
  <si>
    <t>GRETA BOOT II WP</t>
  </si>
  <si>
    <t>1031168</t>
  </si>
  <si>
    <t>GRETA BOOT II WP W-BLACK</t>
  </si>
  <si>
    <t>1031169</t>
  </si>
  <si>
    <t>GRETA BOOT II WP W-BISON</t>
  </si>
  <si>
    <t>BISON</t>
  </si>
  <si>
    <t>GRETA CHELSEA II WP</t>
  </si>
  <si>
    <t>1031170</t>
  </si>
  <si>
    <t>GRETA CHELSEA II WP W-BLACK/BLACK</t>
  </si>
  <si>
    <t>1031171</t>
  </si>
  <si>
    <t>GRETA CHELSEA II WP W-BISON/BLACK</t>
  </si>
  <si>
    <t>BISON/BLACK</t>
  </si>
  <si>
    <t>1031172</t>
  </si>
  <si>
    <t>GRETA CHELSEA II WP W-DARK OLIVE/BLACK</t>
  </si>
  <si>
    <t>1023981</t>
  </si>
  <si>
    <t>HOWSER II W-TRIPLE BLACK</t>
  </si>
  <si>
    <t>1029731</t>
  </si>
  <si>
    <t>HOWSER II W-BIRCH/CURRY</t>
  </si>
  <si>
    <t>BIRCH/CURRY</t>
  </si>
  <si>
    <t>1028162</t>
  </si>
  <si>
    <t>HOWSER III SLIDE W-BLACK SMOOTH NYLON</t>
  </si>
  <si>
    <t>BLACK SMOOTH NYLON</t>
  </si>
  <si>
    <t>1029437</t>
  </si>
  <si>
    <t>HOWSER III SLIDE W-PLAZA TAUPE/BLACK</t>
  </si>
  <si>
    <t>PLAZA TAUPE/BLACK</t>
  </si>
  <si>
    <t>1031040</t>
  </si>
  <si>
    <t>HOWSER III SLIDE W-BRINDLE/BRINDLE SHERP</t>
  </si>
  <si>
    <t>BRINDLE/BRINDLE SHERPA FLEECE</t>
  </si>
  <si>
    <t>1031045</t>
  </si>
  <si>
    <t>HOWSER III SLIDE W-MAGNET/BIRCH</t>
  </si>
  <si>
    <t>MAGNET/BIRCH</t>
  </si>
  <si>
    <t>1032613</t>
  </si>
  <si>
    <t>HOWSER III SLIDE W-BLACK QUILTED</t>
  </si>
  <si>
    <t>1032616</t>
  </si>
  <si>
    <t>HOWSER III SLIDE W-FRONTIER FLANNEL RED</t>
  </si>
  <si>
    <t>1004337</t>
  </si>
  <si>
    <t>JASPER W-CATHAY SPICE/ORION BLUE</t>
  </si>
  <si>
    <t>CATHAY SPICE/ORION BLUE</t>
  </si>
  <si>
    <t>1026259</t>
  </si>
  <si>
    <t>JASPER W-BRINDLE/TILLANDSIA PURPLE</t>
  </si>
  <si>
    <t>BRINDLE/TILLANDSIA PURPLE</t>
  </si>
  <si>
    <t>1030557</t>
  </si>
  <si>
    <t>JASPER W-BIRCH/BLACK</t>
  </si>
  <si>
    <t>BIRCH/BLACK</t>
  </si>
  <si>
    <t>1032940</t>
  </si>
  <si>
    <t>JASPER W-ALLOY/BIRCH</t>
  </si>
  <si>
    <t>ALLOY/BIRCH</t>
  </si>
  <si>
    <t>1032941</t>
  </si>
  <si>
    <t>JASPER W-FADED DENIM/MAGNET</t>
  </si>
  <si>
    <t>FADED DENIM/MAGNET</t>
  </si>
  <si>
    <t>1032946</t>
  </si>
  <si>
    <t>JASPER W-BIRCH/CAMEO ROSE</t>
  </si>
  <si>
    <t>BIRCH/CAMEO ROSE</t>
  </si>
  <si>
    <t>1032555</t>
  </si>
  <si>
    <t>JASPER MERKO W-BIRCH/PLAZA TAUPE</t>
  </si>
  <si>
    <t>1032556</t>
  </si>
  <si>
    <t>JASPER MERKO W-BLACK/BLACK</t>
  </si>
  <si>
    <t>1032850</t>
  </si>
  <si>
    <t>JASPER MERKO W-STEEL GREY/VAPOR</t>
  </si>
  <si>
    <t>1030399</t>
  </si>
  <si>
    <t>JASPER ZIONIC W-SAFARI/GIGGLE PINK</t>
  </si>
  <si>
    <t>SAFARI/GIGGLE PINK</t>
  </si>
  <si>
    <t>1031126</t>
  </si>
  <si>
    <t>JASPER ZIONIC W-BLACK/BLACK</t>
  </si>
  <si>
    <t>1032665</t>
  </si>
  <si>
    <t>JASPER ZIONIC W-CHIPMUNK/SYMPHONIC SUNSE</t>
  </si>
  <si>
    <t>CHIPMUNK/SYMPHONIC SUNSET</t>
  </si>
  <si>
    <t>1032666</t>
  </si>
  <si>
    <t>JASPER ZIONIC W-ALLOY/MEDITERRANEA</t>
  </si>
  <si>
    <t>ALLOY/MEDITERRANEA</t>
  </si>
  <si>
    <t>1032667</t>
  </si>
  <si>
    <t>JASPER ZIONIC W-KHAKI/ABBEY STONE</t>
  </si>
  <si>
    <t>KHAKI/ABBEY STONE</t>
  </si>
  <si>
    <t>1032668</t>
  </si>
  <si>
    <t>JASPER ZIONIC W-DESERT SAGE/LEMON GRASS</t>
  </si>
  <si>
    <t>DESERT SAGE/LEMON GRASS</t>
  </si>
  <si>
    <t>1032669</t>
  </si>
  <si>
    <t>JASPER ZIONIC W-BRINDLE/BIRCH</t>
  </si>
  <si>
    <t>1031863</t>
  </si>
  <si>
    <t>JASPER ZIONIC W-MEDITERRANEA/PALE LILAC</t>
  </si>
  <si>
    <t>MEDITERRANEA/PALE LILAC</t>
  </si>
  <si>
    <t>1031866</t>
  </si>
  <si>
    <t>JASPER ZIONIC W-THISTLE/BIRCH</t>
  </si>
  <si>
    <t>THISTLE/BIRCH</t>
  </si>
  <si>
    <t>1032798</t>
  </si>
  <si>
    <t>JASPER ZIONIC WP W-BLACK/VIOLET QUARTZ</t>
  </si>
  <si>
    <t>BLACK/VIOLET QUARTZ</t>
  </si>
  <si>
    <t>1032799</t>
  </si>
  <si>
    <t>JASPER ZIONIC WP W-STEEL GREY/BLACK</t>
  </si>
  <si>
    <t>1030626</t>
  </si>
  <si>
    <t>KNX T-TOE W-BIRCH/BIRCH</t>
  </si>
  <si>
    <t>1030627</t>
  </si>
  <si>
    <t>KNX T-TOE W-CHIPMUNK/BIRCH</t>
  </si>
  <si>
    <t>CHIPMUNK/BIRCH</t>
  </si>
  <si>
    <t>KOSA CHELSEA</t>
  </si>
  <si>
    <t>1031148</t>
  </si>
  <si>
    <t>KOSA CHELSEA W-BLACK/BLACK</t>
  </si>
  <si>
    <t>1031149</t>
  </si>
  <si>
    <t>KOSA CHELSEA W-BRINDLE/BLACK</t>
  </si>
  <si>
    <t>BRINDLE/BLACK</t>
  </si>
  <si>
    <t>1031150</t>
  </si>
  <si>
    <t>KOSA CHELSEA W-BISON/BLACK</t>
  </si>
  <si>
    <t>KOSA OXFORD</t>
  </si>
  <si>
    <t>1031308</t>
  </si>
  <si>
    <t>KOSA OXFORD W-BIRCH/SAFARI</t>
  </si>
  <si>
    <t>BIRCH/SAFARI</t>
  </si>
  <si>
    <t>1031310</t>
  </si>
  <si>
    <t>KOSA OXFORD W-BLACK/BLACK</t>
  </si>
  <si>
    <t>1029595</t>
  </si>
  <si>
    <t>KS86 W-BLACK/BIRCH</t>
  </si>
  <si>
    <t>1029802</t>
  </si>
  <si>
    <t>KS86 W-BIRCH/STAR WHITE</t>
  </si>
  <si>
    <t>1029594</t>
  </si>
  <si>
    <t>KS86 W-DARK FOREST/STAR WHITE</t>
  </si>
  <si>
    <t>DARK FOREST/STAR WHITE</t>
  </si>
  <si>
    <t>1030248</t>
  </si>
  <si>
    <t>KS86 W-ALLOY/TOADSTOOL</t>
  </si>
  <si>
    <t>ALLOY/TOADSTOOL</t>
  </si>
  <si>
    <t>1031798</t>
  </si>
  <si>
    <t>KS86 W-LILY PAD/BIRCH</t>
  </si>
  <si>
    <t>1031799</t>
  </si>
  <si>
    <t>KS86 W-ABBEY STONE/BRINDLE</t>
  </si>
  <si>
    <t>ABBEY STONE/BRINDLE</t>
  </si>
  <si>
    <t>1032654</t>
  </si>
  <si>
    <t>KS86 W-BISON/BIRCH</t>
  </si>
  <si>
    <t>BISON/BIRCH</t>
  </si>
  <si>
    <t>1032655</t>
  </si>
  <si>
    <t>KS86 W-PLAZA TAUPE/KHAKI</t>
  </si>
  <si>
    <t>PLAZA TAUPE/KHAKI</t>
  </si>
  <si>
    <t>UNEEK</t>
  </si>
  <si>
    <t>1014097</t>
  </si>
  <si>
    <t>UNEEK M-BLACK/BLACK</t>
  </si>
  <si>
    <t>1025169</t>
  </si>
  <si>
    <t>UNEEK M-TIMBERWOLF/PLAZA TAUPE</t>
  </si>
  <si>
    <t>TIMBERWOLF/PLAZA TAUPE</t>
  </si>
  <si>
    <t>1028863</t>
  </si>
  <si>
    <t>UNEEK M-MAGNET/STEEL GREY</t>
  </si>
  <si>
    <t>UNEEK TREKKER</t>
  </si>
  <si>
    <t>1032783</t>
  </si>
  <si>
    <t>UNEEK TREKKER M-BLACK/KEEN MAPLE</t>
  </si>
  <si>
    <t>BLACK/KEEN MAPLE</t>
  </si>
  <si>
    <t>1032784</t>
  </si>
  <si>
    <t>UNEEK TREKKER M-MEDITERRANEA/ROOIBOS TEA</t>
  </si>
  <si>
    <t>MEDITERRANEA/ROOIBOS TEA</t>
  </si>
  <si>
    <t>1032785</t>
  </si>
  <si>
    <t>UNEEK TREKKER M-SAFARI/MEDITERRANEA</t>
  </si>
  <si>
    <t>SAFARI/MEDITERRANEA</t>
  </si>
  <si>
    <t>1018698</t>
  </si>
  <si>
    <t>UNEEK W-WHITE CAP/CORNSTALK</t>
  </si>
  <si>
    <t>WHITE CAP/CORNSTALK</t>
  </si>
  <si>
    <t>UNEEK ASTORIA</t>
  </si>
  <si>
    <t>1027291</t>
  </si>
  <si>
    <t>UNEEK ASTORIA W-BIRCH/SILVER BIRCH</t>
  </si>
  <si>
    <t>BIRCH/SILVER BIRCH</t>
  </si>
  <si>
    <t>1032789</t>
  </si>
  <si>
    <t>UNEEK TREKKER W-BIRCH/PEACH TREE</t>
  </si>
  <si>
    <t>BIRCH/PEACH TREE</t>
  </si>
  <si>
    <t>1032787</t>
  </si>
  <si>
    <t>UNEEK TREKKER W-PLAZA TAUPE/CAMEO ROSE</t>
  </si>
  <si>
    <t>PLAZA TAUPE/CAMEO ROSE</t>
  </si>
  <si>
    <t>1032788</t>
  </si>
  <si>
    <t>UNEEK TREKKER W-VIOLET QUARTZ/AQUIFER</t>
  </si>
  <si>
    <t>VIOLET QUARTZ/AQUIFER</t>
  </si>
  <si>
    <t>1032790</t>
  </si>
  <si>
    <t>UNEEK TREKKER W-HUCKLEBERRY/LEMON GRASS</t>
  </si>
  <si>
    <t>HUCKLEBERRY/LEMON GRASS</t>
  </si>
  <si>
    <t>Waterfront</t>
  </si>
  <si>
    <t>CLEARWATER CNX</t>
  </si>
  <si>
    <t>1014456</t>
  </si>
  <si>
    <t>CLEARWATER CNX M-RAVEN/TORTOISE SHELL</t>
  </si>
  <si>
    <t>RAVEN/TORTOISE SHELL</t>
  </si>
  <si>
    <t>HYPERPORT H2</t>
  </si>
  <si>
    <t>1028654</t>
  </si>
  <si>
    <t>HYPERPORT H2 M-MARTINI OLIVE/PLAZA TAUPE</t>
  </si>
  <si>
    <t>MARTINI OLIVE/PLAZA TAUPE</t>
  </si>
  <si>
    <t>1030195</t>
  </si>
  <si>
    <t>HYPERPORT H2 M-ALLOY/NAVAL ACADEMY</t>
  </si>
  <si>
    <t>ALLOY/NAVAL ACADEMY</t>
  </si>
  <si>
    <t>1030611</t>
  </si>
  <si>
    <t>HYPERPORT H2 M-BIRCH/PLAZA TAUPE</t>
  </si>
  <si>
    <t>1030857</t>
  </si>
  <si>
    <t>HYPERPORT H2 M-BRINDLE/BLACK</t>
  </si>
  <si>
    <t>1031739</t>
  </si>
  <si>
    <t>HYPERPORT H2 M-BRINDLE/VAPOR</t>
  </si>
  <si>
    <t>BRINDLE/VAPOR</t>
  </si>
  <si>
    <t>1031743</t>
  </si>
  <si>
    <t>HYPERPORT H2 M-STEEL GREY/BURNT BRICK</t>
  </si>
  <si>
    <t>STEEL GREY/BURNT BRICK</t>
  </si>
  <si>
    <t>1031745</t>
  </si>
  <si>
    <t>HYPERPORT H2 M-NAVAL ACADEMY/STEEL GREY</t>
  </si>
  <si>
    <t>NAVAL ACADEMY/STEEL GREY</t>
  </si>
  <si>
    <t>KONA FLIP TG</t>
  </si>
  <si>
    <t>1029144</t>
  </si>
  <si>
    <t>KONA FLIP TG M-BLACK/STEEL GREY</t>
  </si>
  <si>
    <t>BLACK/STEEL GREY</t>
  </si>
  <si>
    <t>1029143</t>
  </si>
  <si>
    <t>KONA FLIP TG M-JAVA/DARK EARTH</t>
  </si>
  <si>
    <t>JAVA/DARK EARTH</t>
  </si>
  <si>
    <t>NEWPORT</t>
  </si>
  <si>
    <t>1001870</t>
  </si>
  <si>
    <t>NEWPORT M-BISON</t>
  </si>
  <si>
    <t>NEWPORT H2</t>
  </si>
  <si>
    <t>1001907</t>
  </si>
  <si>
    <t>NEWPORT H2 M-BLACK</t>
  </si>
  <si>
    <t>1001938</t>
  </si>
  <si>
    <t>NEWPORT H2 M-NAVY/MEDIUM GREY</t>
  </si>
  <si>
    <t>NAVY/MEDIUM GREY</t>
  </si>
  <si>
    <t>1022258</t>
  </si>
  <si>
    <t>NEWPORT H2 M-TRIPLE BLACK</t>
  </si>
  <si>
    <t>1030671</t>
  </si>
  <si>
    <t>NEWPORT H2 M-MONOCHROME/PLAZA TAUPE</t>
  </si>
  <si>
    <t>MONOCHROME/PLAZA TAUPE</t>
  </si>
  <si>
    <t>1031691</t>
  </si>
  <si>
    <t>NEWPORT H2 M-ALLOY/CREAM GOLD</t>
  </si>
  <si>
    <t>ALLOY/CREAM GOLD</t>
  </si>
  <si>
    <t>1016287</t>
  </si>
  <si>
    <t>NEWPORT H2 M-MAGNET/NASTURTIUM</t>
  </si>
  <si>
    <t>MAGNET/NASTURTIUM</t>
  </si>
  <si>
    <t>1032583</t>
  </si>
  <si>
    <t>NEWPORT H2 M-MESA GLOW</t>
  </si>
  <si>
    <t>MESA GLOW</t>
  </si>
  <si>
    <t>TARGHEE III OPEN TOE SANDAL</t>
  </si>
  <si>
    <t>1022423</t>
  </si>
  <si>
    <t>TARGHEE III OPEN TOE SANDAL M-BISON/MULC</t>
  </si>
  <si>
    <t>BISON/MULCH</t>
  </si>
  <si>
    <t>TARGHEE III SANDAL</t>
  </si>
  <si>
    <t>1022427</t>
  </si>
  <si>
    <t>TARGHEE III SANDAL M-BISON/MULCH</t>
  </si>
  <si>
    <t>WAIMEA TG</t>
  </si>
  <si>
    <t>1029129</t>
  </si>
  <si>
    <t>WAIMEA TG M-BLACK/BLACK</t>
  </si>
  <si>
    <t>ASTORIA WEST SANDAL</t>
  </si>
  <si>
    <t>1023594</t>
  </si>
  <si>
    <t>ASTORIA WEST SANDAL W-BLACK/GREY</t>
  </si>
  <si>
    <t>BLACK/GREY</t>
  </si>
  <si>
    <t>1028959</t>
  </si>
  <si>
    <t>ASTORIA WEST SANDAL W-NAVAL ACADEMY/REEF</t>
  </si>
  <si>
    <t>NAVAL ACADEMY/REEF WATERS</t>
  </si>
  <si>
    <t>1030148</t>
  </si>
  <si>
    <t>ASTORIA WEST SANDAL W-PLAZA TAUPE/ROASTE</t>
  </si>
  <si>
    <t>PLAZA TAUPE/ROASTED PECAN</t>
  </si>
  <si>
    <t>BALI TG LTR</t>
  </si>
  <si>
    <t>1032224</t>
  </si>
  <si>
    <t>BALI TG LTR W-BLACK/BLACK</t>
  </si>
  <si>
    <t>1032225</t>
  </si>
  <si>
    <t>BALI TG LTR W-CHIPMUNK/BIRCH</t>
  </si>
  <si>
    <t>1032226</t>
  </si>
  <si>
    <t>BALI TG LTR W-LILY PAD/STEEL GREY</t>
  </si>
  <si>
    <t>LILY PAD/STEEL GREY</t>
  </si>
  <si>
    <t>1032812</t>
  </si>
  <si>
    <t>BALI TG LTR W-MESA GLOW</t>
  </si>
  <si>
    <t>1028657</t>
  </si>
  <si>
    <t>HYPERPORT H2 W-BLACK/STEEL GREY</t>
  </si>
  <si>
    <t>1028661</t>
  </si>
  <si>
    <t>HYPERPORT H2 W-BIRCH/PLAZA TAUPE</t>
  </si>
  <si>
    <t>1030678</t>
  </si>
  <si>
    <t>HYPERPORT H2 W-CHIPMUNK/BIRCH</t>
  </si>
  <si>
    <t>1030679</t>
  </si>
  <si>
    <t>HYPERPORT H2 W-ALLOY/SKYWAY</t>
  </si>
  <si>
    <t>ALLOY/SKYWAY</t>
  </si>
  <si>
    <t>1031753</t>
  </si>
  <si>
    <t>HYPERPORT H2 W-CAMEO ROSE/BIRCH</t>
  </si>
  <si>
    <t>CAMEO ROSE/BIRCH</t>
  </si>
  <si>
    <t>1031750</t>
  </si>
  <si>
    <t>HYPERPORT H2 W-MONOCHROME/THISTLE</t>
  </si>
  <si>
    <t>MONOCHROME/THISTLE</t>
  </si>
  <si>
    <t>1029147</t>
  </si>
  <si>
    <t>KONA FLIP TG W-BLACK/VAPOR</t>
  </si>
  <si>
    <t>BLACK/VAPOR</t>
  </si>
  <si>
    <t>1026245</t>
  </si>
  <si>
    <t>NEWPORT H2 W-NAVY/MAGNET</t>
  </si>
  <si>
    <t>NAVY/MAGNET</t>
  </si>
  <si>
    <t>1032118</t>
  </si>
  <si>
    <t>NEWPORT H2 W-TRI-BLOCK VAPOR</t>
  </si>
  <si>
    <t>TRI-BLOCK VAPOR</t>
  </si>
  <si>
    <t>1032936</t>
  </si>
  <si>
    <t>NEWPORT H2 W-GRADIENT CAMEO ROSE</t>
  </si>
  <si>
    <t>GRADIENT CAMEO ROSE</t>
  </si>
  <si>
    <t>1032937</t>
  </si>
  <si>
    <t>NEWPORT H2 W-GRADIENT VAPOR</t>
  </si>
  <si>
    <t>GRADIENT VAPOR</t>
  </si>
  <si>
    <t>1032938</t>
  </si>
  <si>
    <t>NEWPORT H2 W-GRADIENT MEDITERRANEA</t>
  </si>
  <si>
    <t>GRADIENT MEDITERRANEA</t>
  </si>
  <si>
    <t>1032939</t>
  </si>
  <si>
    <t>NEWPORT H2 W-MESA GLOW</t>
  </si>
  <si>
    <t>1032119</t>
  </si>
  <si>
    <t>NEWPORT H2 W-TRI-BLOCK BIRCH</t>
  </si>
  <si>
    <t>TRI-BLOCK BIRCH</t>
  </si>
  <si>
    <t>NEWPORT RETRO</t>
  </si>
  <si>
    <t>1018822</t>
  </si>
  <si>
    <t>NEWPORT RETRO W-ORIGINAL TIE DYE</t>
  </si>
  <si>
    <t>ORIGINAL TIE DYE</t>
  </si>
  <si>
    <t>ROSE SANDAL</t>
  </si>
  <si>
    <t>1008783</t>
  </si>
  <si>
    <t>ROSE SANDAL W-BLACK/NEUTRAL GRAY</t>
  </si>
  <si>
    <t>BLACK/NEUTRAL GRAY</t>
  </si>
  <si>
    <t>1016729</t>
  </si>
  <si>
    <t>ROSE SANDAL W-BRINDLE/SHIITAKE</t>
  </si>
  <si>
    <t>BRINDLE/SHIITAKE</t>
  </si>
  <si>
    <t>1016733</t>
  </si>
  <si>
    <t>ROSE SANDAL W-GARGOYLE/RAVEN</t>
  </si>
  <si>
    <t>GARGOYLE/RAVEN</t>
  </si>
  <si>
    <t>1029134</t>
  </si>
  <si>
    <t>WAIMEA TG W-BLACK/BLACK</t>
  </si>
  <si>
    <t>WHISPER</t>
  </si>
  <si>
    <t>1022809</t>
  </si>
  <si>
    <t>WHISPER W-SMOKE BLUE</t>
  </si>
  <si>
    <t>SMOKE BLUE</t>
  </si>
  <si>
    <t>1022810</t>
  </si>
  <si>
    <t>WHISPER W-TAUPE/CORAL</t>
  </si>
  <si>
    <t>TAUPE/CORAL</t>
  </si>
  <si>
    <t>1022814</t>
  </si>
  <si>
    <t>WHISPER W-MEDIUM GREY/PEACOCK GREEN</t>
  </si>
  <si>
    <t>MEDIUM GREY/PEACOCK GREEN</t>
  </si>
  <si>
    <t>1032120</t>
  </si>
  <si>
    <t>WHISPER W-LILY PAD</t>
  </si>
  <si>
    <t>LILY PAD</t>
  </si>
  <si>
    <t>1033032</t>
  </si>
  <si>
    <t>WHISPER W-SAFARI/BIRCH</t>
  </si>
  <si>
    <t>SAFARI/BIRCH</t>
  </si>
  <si>
    <t>1033033</t>
  </si>
  <si>
    <t>WHISPER W-BLACK/BLACK</t>
  </si>
  <si>
    <t>WHISPER LATTICE</t>
  </si>
  <si>
    <t>1031980</t>
  </si>
  <si>
    <t>WHISPER LATTICE W-LILY PAD/PLAZA TAUPE</t>
  </si>
  <si>
    <t>LILY PAD/PLAZA TAUPE</t>
  </si>
  <si>
    <t>1031981</t>
  </si>
  <si>
    <t>WHISPER LATTICE W-PLAZA TAUPE/SILVER BIR</t>
  </si>
  <si>
    <t>PLAZA TAUPE/SILVER BIRCH</t>
  </si>
  <si>
    <t>WHISPER LITE</t>
  </si>
  <si>
    <t>1031960</t>
  </si>
  <si>
    <t>WHISPER LITE W-BLACK/MAGNET</t>
  </si>
  <si>
    <t>BLACK/MAGNET</t>
  </si>
  <si>
    <t>1031958</t>
  </si>
  <si>
    <t>WHISPER LITE W-SAFARI/BIRCH</t>
  </si>
  <si>
    <t>Trailhead</t>
  </si>
  <si>
    <t>HIGHTRAIL MID WP</t>
  </si>
  <si>
    <t>1030343</t>
  </si>
  <si>
    <t>HIGHTRAIL MID WP M-BRINDLE/OAK BUFF</t>
  </si>
  <si>
    <t>BRINDLE/OAK BUFF</t>
  </si>
  <si>
    <t>1030703</t>
  </si>
  <si>
    <t>HIGHTRAIL MID WP M-DARK EARTH/OAK BUFF</t>
  </si>
  <si>
    <t>DARK EARTH/OAK BUFF</t>
  </si>
  <si>
    <t>1031834</t>
  </si>
  <si>
    <t>HIGHTRAIL MID WP M-SAFARI/BLACK</t>
  </si>
  <si>
    <t>SAFARI/BLACK</t>
  </si>
  <si>
    <t>1031835</t>
  </si>
  <si>
    <t>HIGHTRAIL MID WP M-SAFARI/STEEL GREY</t>
  </si>
  <si>
    <t>SAFARI/STEEL GREY</t>
  </si>
  <si>
    <t>1032289</t>
  </si>
  <si>
    <t>HIGHTRAIL MID WP M-MAGNET/BURNT BRICK</t>
  </si>
  <si>
    <t>MAGNET/BURNT BRICK</t>
  </si>
  <si>
    <t>HIGHTRAIL WP</t>
  </si>
  <si>
    <t>1031842</t>
  </si>
  <si>
    <t>HIGHTRAIL WP M-FOREST NIGHT/DARK OLIVE</t>
  </si>
  <si>
    <t>FOREST NIGHT/DARK OLIVE</t>
  </si>
  <si>
    <t>1031844</t>
  </si>
  <si>
    <t>HIGHTRAIL WP M-SAFARI/ROASTED PECAN</t>
  </si>
  <si>
    <t>SAFARI/ROASTED PECAN</t>
  </si>
  <si>
    <t>1032298</t>
  </si>
  <si>
    <t>HIGHTRAIL WP M-CANTEEN/BLACK</t>
  </si>
  <si>
    <t>CANTEEN/BLACK</t>
  </si>
  <si>
    <t>HIGHTRAIL WP WIDE</t>
  </si>
  <si>
    <t>1030511</t>
  </si>
  <si>
    <t>HIGHTRAIL WP WIDE M-BRINDLE/BIRCH</t>
  </si>
  <si>
    <t>PYRENEES</t>
  </si>
  <si>
    <t>1002435</t>
  </si>
  <si>
    <t>PYRENEES M-SYRUP</t>
  </si>
  <si>
    <t>SYRUP</t>
  </si>
  <si>
    <t>TARGHEE APEX MID WP</t>
  </si>
  <si>
    <t>1032054</t>
  </si>
  <si>
    <t>TARGHEE APEX MID WP M-DARK OLIVE/KHAKI</t>
  </si>
  <si>
    <t>1032053</t>
  </si>
  <si>
    <t>TARGHEE APEX MID WP M-BLACK/GOLDEN CYPRE</t>
  </si>
  <si>
    <t>BLACK/GOLDEN CYPRESS</t>
  </si>
  <si>
    <t>1032515</t>
  </si>
  <si>
    <t>TARGHEE APEX MID WP M-ALLOY/BLACK</t>
  </si>
  <si>
    <t>ALLOY/BLACK</t>
  </si>
  <si>
    <t>TARGHEE APEX MID WP WIDE</t>
  </si>
  <si>
    <t>1032341</t>
  </si>
  <si>
    <t>TARGHEE APEX MID WP WIDE M-DARK OLIVE/KH</t>
  </si>
  <si>
    <t>1032811</t>
  </si>
  <si>
    <t>TARGHEE APEX MID WP WIDE M-ALLOY/BLACK</t>
  </si>
  <si>
    <t>TARGHEE APEX WP</t>
  </si>
  <si>
    <t>1032033</t>
  </si>
  <si>
    <t>TARGHEE APEX WP M-BLACK/ABBEY STONE</t>
  </si>
  <si>
    <t>BLACK/ABBEY STONE</t>
  </si>
  <si>
    <t>1032287</t>
  </si>
  <si>
    <t>TARGHEE APEX WP M-BRINDLE/CANTEEN</t>
  </si>
  <si>
    <t>BRINDLE/CANTEEN</t>
  </si>
  <si>
    <t>1032032</t>
  </si>
  <si>
    <t>TARGHEE APEX WP M-DARK OLIVE/KHAKI</t>
  </si>
  <si>
    <t>1032768</t>
  </si>
  <si>
    <t>TARGHEE APEX WP M-JAVA/DARK EARTH</t>
  </si>
  <si>
    <t>TARGHEE APEX WP WIDE</t>
  </si>
  <si>
    <t>1033306</t>
  </si>
  <si>
    <t>TARGHEE APEX WP WIDE M-BRINDLE/CANTEEN</t>
  </si>
  <si>
    <t>TARGHEE II MID WP</t>
  </si>
  <si>
    <t>1008418</t>
  </si>
  <si>
    <t>TARGHEE II MID WP M-SHITAKE/BRINDLE</t>
  </si>
  <si>
    <t>SHITAKE/BRINDLE</t>
  </si>
  <si>
    <t>1032588</t>
  </si>
  <si>
    <t>TARGHEE II MID WP M-BLACK OLIVE/CHIPMUNK</t>
  </si>
  <si>
    <t>BLACK OLIVE/CHIPMUNK</t>
  </si>
  <si>
    <t>1017346</t>
  </si>
  <si>
    <t>TARGHEE II MID WP M-CANTEEN/DARK OLIVE</t>
  </si>
  <si>
    <t>CANTEEN/DARK OLIVE</t>
  </si>
  <si>
    <t>TARGHEE II MID WP WIDE</t>
  </si>
  <si>
    <t>1032971</t>
  </si>
  <si>
    <t>TARGHEE II MID WP WIDE M-BLACK OLIVE/CHI</t>
  </si>
  <si>
    <t>TARGHEE II WP</t>
  </si>
  <si>
    <t>1008417</t>
  </si>
  <si>
    <t>TARGHEE II WP M-CASCADE BROWN/GOLDEN YEL</t>
  </si>
  <si>
    <t>CASCADE BROWN/GOLDEN YELLOW</t>
  </si>
  <si>
    <t>TARGHEE II WP WIDE</t>
  </si>
  <si>
    <t>1015704</t>
  </si>
  <si>
    <t>TARGHEE II WP WIDE M-CASCADE BROWN/GOLDE</t>
  </si>
  <si>
    <t>TARGHEE IV MID WP</t>
  </si>
  <si>
    <t>1028988</t>
  </si>
  <si>
    <t>TARGHEE IV MID WP M-BISON/BLACK</t>
  </si>
  <si>
    <t>1030688</t>
  </si>
  <si>
    <t>TARGHEE IV MID WP M-SEA TURTLE/ROASTED P</t>
  </si>
  <si>
    <t>SEA TURTLE/ROASTED PECAN</t>
  </si>
  <si>
    <t>1031773</t>
  </si>
  <si>
    <t>TARGHEE IV MID WP M-JAVA/BRINDLE</t>
  </si>
  <si>
    <t>JAVA/BRINDLE</t>
  </si>
  <si>
    <t>1032633</t>
  </si>
  <si>
    <t>TARGHEE IV MID WP M-MAGNET/BLACK</t>
  </si>
  <si>
    <t>MAGNET/BLACK</t>
  </si>
  <si>
    <t>1032634</t>
  </si>
  <si>
    <t>TARGHEE IV MID WP M-TUMBLED JAVA</t>
  </si>
  <si>
    <t>TUMBLED JAVA</t>
  </si>
  <si>
    <t>TARGHEE IV MID WP WIDE</t>
  </si>
  <si>
    <t>1029002</t>
  </si>
  <si>
    <t>TARGHEE IV MID WP WIDE M-BISON/BLACK</t>
  </si>
  <si>
    <t>1031782</t>
  </si>
  <si>
    <t>TARGHEE IV MID WP WIDE M-TRIPLE BLACK</t>
  </si>
  <si>
    <t>TARGHEE IV VENT</t>
  </si>
  <si>
    <t>1028998</t>
  </si>
  <si>
    <t>TARGHEE IV VENT M-BISON/GOLDEN YELLOW</t>
  </si>
  <si>
    <t>BISON/GOLDEN YELLOW</t>
  </si>
  <si>
    <t>TARGHEE IV WP</t>
  </si>
  <si>
    <t>1028997</t>
  </si>
  <si>
    <t>TARGHEE IV WP M-BISON/BLACK</t>
  </si>
  <si>
    <t>1029827</t>
  </si>
  <si>
    <t>TARGHEE IV WP M-TRIPLE BLACK</t>
  </si>
  <si>
    <t>1030691</t>
  </si>
  <si>
    <t>TARGHEE IV WP M-SEA TURTLE/ROASTED PECAN</t>
  </si>
  <si>
    <t>1031781</t>
  </si>
  <si>
    <t>TARGHEE IV WP M-JAVA/BISON</t>
  </si>
  <si>
    <t>JAVA/BISON</t>
  </si>
  <si>
    <t>TARGHEE IV WP WIDE</t>
  </si>
  <si>
    <t>1029746</t>
  </si>
  <si>
    <t>TARGHEE IV WP WIDE M-BISON/BLACK</t>
  </si>
  <si>
    <t>1030348</t>
  </si>
  <si>
    <t>HIGHTRAIL MID WP W-SAFARI/CHIPMUNK</t>
  </si>
  <si>
    <t>SAFARI/CHIPMUNK</t>
  </si>
  <si>
    <t>1031836</t>
  </si>
  <si>
    <t>HIGHTRAIL MID WP W-ALLOY/THISTLE</t>
  </si>
  <si>
    <t>ALLOY/THISTLE</t>
  </si>
  <si>
    <t>1032291</t>
  </si>
  <si>
    <t>HIGHTRAIL MID WP W-MEDITERRANEA/BIRCH</t>
  </si>
  <si>
    <t>MEDITERRANEA/BIRCH</t>
  </si>
  <si>
    <t>1032292</t>
  </si>
  <si>
    <t>HIGHTRAIL MID WP W-BRINDLE/PINK LEMONADE</t>
  </si>
  <si>
    <t>BRINDLE/PINK LEMONADE</t>
  </si>
  <si>
    <t>1032293</t>
  </si>
  <si>
    <t>HIGHTRAIL MID WP W-WARM TAUPE/BIRCH</t>
  </si>
  <si>
    <t>WARM TAUPE/BIRCH</t>
  </si>
  <si>
    <t>1030349</t>
  </si>
  <si>
    <t>HIGHTRAIL WP W-ROASTED PECAN/CHIPMUNK</t>
  </si>
  <si>
    <t>ROASTED PECAN/CHIPMUNK</t>
  </si>
  <si>
    <t>1030351</t>
  </si>
  <si>
    <t>HIGHTRAIL WP W-BIRCH/DAFFODIL</t>
  </si>
  <si>
    <t>BIRCH/DAFFODIL</t>
  </si>
  <si>
    <t>1031839</t>
  </si>
  <si>
    <t>HIGHTRAIL WP W-STEEL GREY/THISTLE</t>
  </si>
  <si>
    <t>STEEL GREY/THISTLE</t>
  </si>
  <si>
    <t>1004156</t>
  </si>
  <si>
    <t>PYRENEES W-SYRUP</t>
  </si>
  <si>
    <t>1032049</t>
  </si>
  <si>
    <t>TARGHEE APEX MID WP W-LILY PAD/FIG</t>
  </si>
  <si>
    <t>LILY PAD/FIG</t>
  </si>
  <si>
    <t>1032045</t>
  </si>
  <si>
    <t>TARGHEE APEX MID WP W-ABBEY STONE/BIRCH</t>
  </si>
  <si>
    <t>ABBEY STONE/BIRCH</t>
  </si>
  <si>
    <t>1032047</t>
  </si>
  <si>
    <t>TARGHEE APEX MID WP W-VAPOR/BALLAD BLUE</t>
  </si>
  <si>
    <t>VAPOR/BALLAD BLUE</t>
  </si>
  <si>
    <t>1032050</t>
  </si>
  <si>
    <t>TARGHEE APEX MID WP W-FIG/BURNT BRICK</t>
  </si>
  <si>
    <t>FIG/BURNT BRICK</t>
  </si>
  <si>
    <t>1032040</t>
  </si>
  <si>
    <t>TARGHEE APEX WP W-SAFARI/BIRCH</t>
  </si>
  <si>
    <t>1032217</t>
  </si>
  <si>
    <t>TARGHEE APEX WP W-VAPOR/STAR WHITE</t>
  </si>
  <si>
    <t>VAPOR/STAR WHITE</t>
  </si>
  <si>
    <t>1032636</t>
  </si>
  <si>
    <t>TARGHEE IV MID WP W-PLAZA TAUPE/HUCKLEBE</t>
  </si>
  <si>
    <t>PLAZA TAUPE/HUCKLEBERRY</t>
  </si>
  <si>
    <t>1032637</t>
  </si>
  <si>
    <t>TARGHEE IV MID WP W-TUMBLED CHOCOLATE</t>
  </si>
  <si>
    <t>TUMBLED CHOCOLATE</t>
  </si>
  <si>
    <t>1029017</t>
  </si>
  <si>
    <t>TARGHEE IV MID WP WIDE W-BRINDLE/NOSTALG</t>
  </si>
  <si>
    <t>BRINDLE/NOSTALGIA ROSE</t>
  </si>
  <si>
    <t>1033305</t>
  </si>
  <si>
    <t>TARGHEE IV MID WP WIDE W-PLAZA TAUPE/HUC</t>
  </si>
  <si>
    <t>1029000</t>
  </si>
  <si>
    <t>TARGHEE IV VENT W-ALLOY/GRANITE GREEN</t>
  </si>
  <si>
    <t>ALLOY/GRANITE GREEN</t>
  </si>
  <si>
    <t>1028992</t>
  </si>
  <si>
    <t>TARGHEE IV WP W-ALLOY/GRANITE GREEN</t>
  </si>
  <si>
    <t>1031778</t>
  </si>
  <si>
    <t>TARGHEE IV WP W-ABBEY STONE/LILY PAD</t>
  </si>
  <si>
    <t>1032232</t>
  </si>
  <si>
    <t>TARGHEE IV WP W-STEEL GREY/LILY PAD</t>
  </si>
  <si>
    <t>STEEL GREY/LILY PAD</t>
  </si>
  <si>
    <t>Kids</t>
  </si>
  <si>
    <t>CHILDREN</t>
  </si>
  <si>
    <t>1032220</t>
  </si>
  <si>
    <t>HIGHTRAIL MID WP C-DARK EARTH/GARNET</t>
  </si>
  <si>
    <t>DARK EARTH/GARNET</t>
  </si>
  <si>
    <t>1032072</t>
  </si>
  <si>
    <t>HIGHTRAIL MID WP C-DARK OLIVE/MARTINI OL</t>
  </si>
  <si>
    <t>DARK OLIVE/MARTINI OLIVE</t>
  </si>
  <si>
    <t>YOUTH</t>
  </si>
  <si>
    <t>1032219</t>
  </si>
  <si>
    <t>HIGHTRAIL MID WP Y-PURPLE HAZE/THISTLE</t>
  </si>
  <si>
    <t>PURPLE HAZE/THISTLE</t>
  </si>
  <si>
    <t>1032066</t>
  </si>
  <si>
    <t>HIGHTRAIL WP C-BIRCH/DAFFODIL</t>
  </si>
  <si>
    <t>1032067</t>
  </si>
  <si>
    <t>HIGHTRAIL WP C-BRINDLE/OAK BUFF</t>
  </si>
  <si>
    <t>1032063</t>
  </si>
  <si>
    <t>HIGHTRAIL WP Y-BRINDLE/OAK BUFF</t>
  </si>
  <si>
    <t>1032069</t>
  </si>
  <si>
    <t>HIGHTRAIL WP C-VINTAGE INDIGO/ALLOY</t>
  </si>
  <si>
    <t>VINTAGE INDIGO/ALLOY</t>
  </si>
  <si>
    <t>TOTS</t>
  </si>
  <si>
    <t>HYPERFLT</t>
  </si>
  <si>
    <t>1032003</t>
  </si>
  <si>
    <t>HYPERFLT T-AZURE BLUE/DAFFODIL</t>
  </si>
  <si>
    <t>AZURE BLUE/DAFFODIL</t>
  </si>
  <si>
    <t>1031992</t>
  </si>
  <si>
    <t>HYPERFLT C-BRONZE GREEN/ORANGE PEEL</t>
  </si>
  <si>
    <t>BRONZE GREEN/ORANGE PEEL</t>
  </si>
  <si>
    <t>1032002</t>
  </si>
  <si>
    <t>HYPERFLT T-BRONZE GREEN/ORANGE PEEL</t>
  </si>
  <si>
    <t>1031991</t>
  </si>
  <si>
    <t>HYPERFLT C-PURPLE HAZE/PEACH FUZZ</t>
  </si>
  <si>
    <t>PURPLE HAZE/PEACH FUZZ</t>
  </si>
  <si>
    <t>1031921</t>
  </si>
  <si>
    <t>HYPERPORT H2 C-BLACK/STEEL GREY</t>
  </si>
  <si>
    <t>1031922</t>
  </si>
  <si>
    <t>HYPERPORT H2 C-BRIGHT AQUA/WAX YELLOW</t>
  </si>
  <si>
    <t>BRIGHT AQUA/WAX YELLOW</t>
  </si>
  <si>
    <t>1031923</t>
  </si>
  <si>
    <t>HYPERPORT H2 C-NAVAL ACADEMY/VIBRANT GRE</t>
  </si>
  <si>
    <t>NAVAL ACADEMY/VIBRANT GREEN</t>
  </si>
  <si>
    <t>1031927</t>
  </si>
  <si>
    <t>HYPERPORT H2 T-NAVAL ACADEMY/VIBRANT GRE</t>
  </si>
  <si>
    <t>1031915</t>
  </si>
  <si>
    <t>HYPERPORT H2 Y-NAVAL ACADEMY/VIBRANT GRE</t>
  </si>
  <si>
    <t>1031918</t>
  </si>
  <si>
    <t>HYPERPORT H2 C-PINK LEMONADE/PEACH FUZZ</t>
  </si>
  <si>
    <t>PINK LEMONADE/PEACH FUZZ</t>
  </si>
  <si>
    <t>1031924</t>
  </si>
  <si>
    <t>HYPERPORT H2 T-PINK LEMONADE/PEACH FUZZ</t>
  </si>
  <si>
    <t>1031910</t>
  </si>
  <si>
    <t>HYPERPORT H2 Y-PINK LEMONADE/PEACH FUZZ</t>
  </si>
  <si>
    <t>HYPOWSER CHUKKA WP</t>
  </si>
  <si>
    <t>1032827</t>
  </si>
  <si>
    <t>HYPOWSER CHUKKA WP C-BLACK/BIRCH</t>
  </si>
  <si>
    <t>1032743</t>
  </si>
  <si>
    <t>HYPOWSER CHUKKA WP Y-BLACK/BIRCH</t>
  </si>
  <si>
    <t>1032830</t>
  </si>
  <si>
    <t>HYPOWSER CHUKKA WP C-CHIPMUNK/BALTIC</t>
  </si>
  <si>
    <t>CHIPMUNK/BALTIC</t>
  </si>
  <si>
    <t>1032740</t>
  </si>
  <si>
    <t>HYPOWSER CHUKKA WP Y-CHIPMUNK/BALTIC</t>
  </si>
  <si>
    <t>1032832</t>
  </si>
  <si>
    <t>HYPOWSER CHUKKA WP C-FOREST NIGHT/GARNET</t>
  </si>
  <si>
    <t>FOREST NIGHT/GARNET</t>
  </si>
  <si>
    <t>1032742</t>
  </si>
  <si>
    <t>HYPOWSER CHUKKA WP Y-FOREST NIGHT/GARNET</t>
  </si>
  <si>
    <t>1032829</t>
  </si>
  <si>
    <t>HYPOWSER CHUKKA WP C-HUCKLEBERRY/VIOLET</t>
  </si>
  <si>
    <t>HUCKLEBERRY/VIOLET QUARTZ</t>
  </si>
  <si>
    <t>1032741</t>
  </si>
  <si>
    <t>HYPOWSER CHUKKA WP Y-HUCKLEBERRY/VIOLET</t>
  </si>
  <si>
    <t>1032777</t>
  </si>
  <si>
    <t>JASPER ZIONIC C-AQUIFER/SCENIC GREEN</t>
  </si>
  <si>
    <t>AQUIFER/SCENIC GREEN</t>
  </si>
  <si>
    <t>1032058</t>
  </si>
  <si>
    <t>JASPER ZIONIC C-BRONZE GREEN/EVENING PRI</t>
  </si>
  <si>
    <t>BRONZE GREEN/EVENING PRIMROSE</t>
  </si>
  <si>
    <t>1032019</t>
  </si>
  <si>
    <t>JASPER ZIONIC Y-BRONZE GREEN/EVENING PRI</t>
  </si>
  <si>
    <t>1032057</t>
  </si>
  <si>
    <t>JASPER ZIONIC C-CASHMERE ROSE/GIGGLE PIN</t>
  </si>
  <si>
    <t>CASHMERE ROSE/GIGGLE PINK</t>
  </si>
  <si>
    <t>1032020</t>
  </si>
  <si>
    <t>JASPER ZIONIC Y-CASHMERE ROSE/GIGGLE PIN</t>
  </si>
  <si>
    <t>1032778</t>
  </si>
  <si>
    <t>JASPER ZIONIC C-CHIPMUNK/BALTIC</t>
  </si>
  <si>
    <t>1032737</t>
  </si>
  <si>
    <t>JASPER ZIONIC Y-CHIPMUNK/BALTIC</t>
  </si>
  <si>
    <t>1032779</t>
  </si>
  <si>
    <t>JASPER ZIONIC C-NAVAL ACADEMY/FLAME ORAN</t>
  </si>
  <si>
    <t>NAVAL ACADEMY/FLAME ORANGE</t>
  </si>
  <si>
    <t>1032735</t>
  </si>
  <si>
    <t>JASPER ZIONIC Y-NAVAL ACADEMY/FLAME ORAN</t>
  </si>
  <si>
    <t>1032060</t>
  </si>
  <si>
    <t>JASPER ZIONIC C-SAFARI/WAX YELLOW</t>
  </si>
  <si>
    <t>SAFARI/WAX YELLOW</t>
  </si>
  <si>
    <t>1032022</t>
  </si>
  <si>
    <t>JASPER ZIONIC Y-SAFARI/WAX YELLOW</t>
  </si>
  <si>
    <t>1032780</t>
  </si>
  <si>
    <t>JASPER ZIONIC C-VIOLET QUARTZ VELOUR</t>
  </si>
  <si>
    <t>VIOLET QUARTZ VELOUR</t>
  </si>
  <si>
    <t>1032733</t>
  </si>
  <si>
    <t>JASPER ZIONIC Y-VIOLET QUARTZ VELOUR</t>
  </si>
  <si>
    <t>KNX T-TOE DS</t>
  </si>
  <si>
    <t>1030828</t>
  </si>
  <si>
    <t>KNX T-TOE DS C-BLACK/STAR WHITE</t>
  </si>
  <si>
    <t>BLACK/STAR WHITE</t>
  </si>
  <si>
    <t>1031271</t>
  </si>
  <si>
    <t>KNX T-TOE DS C-LILAS/STAR WHITE</t>
  </si>
  <si>
    <t>LILAS/STAR WHITE</t>
  </si>
  <si>
    <t>1031393</t>
  </si>
  <si>
    <t>KNX T-TOE DS T-LILAS/STAR WHITE</t>
  </si>
  <si>
    <t>1031284</t>
  </si>
  <si>
    <t>KS86 C-BIRCH/STAR WHITE</t>
  </si>
  <si>
    <t>1031287</t>
  </si>
  <si>
    <t>KS86 Y-BIRCH/STAR WHITE</t>
  </si>
  <si>
    <t>MOXIE SANDAL</t>
  </si>
  <si>
    <t>1028832</t>
  </si>
  <si>
    <t>MOXIE SANDAL C-NOSTALGIA ROSE/PAPAYA PUN</t>
  </si>
  <si>
    <t>NOSTALGIA ROSE/PAPAYA PUNCH</t>
  </si>
  <si>
    <t>1018363</t>
  </si>
  <si>
    <t>MOXIE SANDAL C-SILVER</t>
  </si>
  <si>
    <t>SILVER</t>
  </si>
  <si>
    <t>1029140</t>
  </si>
  <si>
    <t>NEWPORT H2 Y-NAVAL ACADEMY/KEEN YELLOW</t>
  </si>
  <si>
    <t>NAVAL ACADEMY/KEEN YELLOW</t>
  </si>
  <si>
    <t>1018441</t>
  </si>
  <si>
    <t>NEWPORT H2 Y-RAINBOW TIE DYE</t>
  </si>
  <si>
    <t>RAINBOW TIE DYE</t>
  </si>
  <si>
    <t>1030791</t>
  </si>
  <si>
    <t>NEWPORT H2 Y-RASPBERRY/GIGGLE PINK</t>
  </si>
  <si>
    <t>RASPBERRY/GIGGLE PINK</t>
  </si>
  <si>
    <t>SEACAMP II CNX</t>
  </si>
  <si>
    <t>1028850</t>
  </si>
  <si>
    <t>SEACAMP II CNX Y-CORONET BLUE/HOT PINK</t>
  </si>
  <si>
    <t>CORONET BLUE/HOT PINK</t>
  </si>
  <si>
    <t>1030813</t>
  </si>
  <si>
    <t>SEACAMP II CNX Y-DUBARRY/GIGGLE PINK</t>
  </si>
  <si>
    <t>DUBARRY/GIGGLE PINK</t>
  </si>
  <si>
    <t>1030768</t>
  </si>
  <si>
    <t>SEACAMP II CNX Y-MOONLITE MAUVE/GIGGLE P</t>
  </si>
  <si>
    <t>MOONLITE MAUVE/GIGGLE PINK</t>
  </si>
  <si>
    <t>TARGHEE IV LOW WP</t>
  </si>
  <si>
    <t>1029615</t>
  </si>
  <si>
    <t>TARGHEE IV LOW WP C-BLACK/STEEL GREY</t>
  </si>
  <si>
    <t>1029804</t>
  </si>
  <si>
    <t>TARGHEE IV LOW WP C-REEF WATERS/DAIQUIRI</t>
  </si>
  <si>
    <t>REEF WATERS/DAIQUIRI GREEN</t>
  </si>
  <si>
    <t>1029794</t>
  </si>
  <si>
    <t>TARGHEE IV LOW WP Y-REEF WATERS/DAIQUIRI</t>
  </si>
  <si>
    <t>1029613</t>
  </si>
  <si>
    <t>TARGHEE IV MID WP C-ALLOY/GRANITE GREEN</t>
  </si>
  <si>
    <t>1029610</t>
  </si>
  <si>
    <t>TARGHEE IV MID WP C-BISON/BRINDLE</t>
  </si>
  <si>
    <t>BISON/BRINDLE</t>
  </si>
  <si>
    <t>1032658</t>
  </si>
  <si>
    <t>TARGHEE IV MID WP C-MEDITERRANEA/FLAME O</t>
  </si>
  <si>
    <t>MEDITERRANEA/FLAME ORANGE</t>
  </si>
  <si>
    <t>1032643</t>
  </si>
  <si>
    <t>TARGHEE IV MID WP Y-MEDITERRANEA/FLAME O</t>
  </si>
  <si>
    <t>ZIONIC MID WP</t>
  </si>
  <si>
    <t>1031250</t>
  </si>
  <si>
    <t>ZIONIC MID WP C-NAVAL ACADEMY/NASTURTIUM</t>
  </si>
  <si>
    <t>NAVAL ACADEMY/NASTURTIUM</t>
  </si>
  <si>
    <t>1031137</t>
  </si>
  <si>
    <t>ZIONIC MID WP Y-NAVAL ACADEMY/NASTURTIUM</t>
  </si>
  <si>
    <t>ZIONIC WP</t>
  </si>
  <si>
    <t>1032673</t>
  </si>
  <si>
    <t>ZIONIC WP Y-MAGNET/EVENING PRIMROSE</t>
  </si>
  <si>
    <t>MAGNET/EVENING PRIMROSE</t>
  </si>
  <si>
    <t>1001942</t>
  </si>
  <si>
    <t>NEWPORT H2 M-RAYA BLACK</t>
  </si>
  <si>
    <t>RAYA BLACK</t>
  </si>
  <si>
    <t>1003480</t>
  </si>
  <si>
    <t>NEWPORT H2 W-RAYA BLACK</t>
  </si>
  <si>
    <t>NAVAL ACADEMY/REEF</t>
  </si>
  <si>
    <t>1028993</t>
  </si>
  <si>
    <t>TARGHEE IV WP W-BRINDLE/NOSTALGIA ROSE</t>
  </si>
  <si>
    <t>1030861</t>
  </si>
  <si>
    <t>HYPERPORT H2 W-ICEBERG GREEN/ABBEY STONE</t>
  </si>
  <si>
    <t>ICEBERG GREEN/ABBEY STONE</t>
  </si>
  <si>
    <t>1031129</t>
  </si>
  <si>
    <t>JASPER ZIONIC W-CORK/JAVA</t>
  </si>
  <si>
    <t>CORK/JAVA</t>
  </si>
  <si>
    <t>1031688</t>
  </si>
  <si>
    <t>NEWPORT H2 M-MONOCHROME/BURNT BRICK</t>
  </si>
  <si>
    <t>MONOCHROME/BURNT BRICK</t>
  </si>
  <si>
    <t>1031741</t>
  </si>
  <si>
    <t>HYPERPORT H2 M-ABBEY STONE/GOLDEN CYPRES</t>
  </si>
  <si>
    <t>ABBEY STONE/GOLDEN CYPRES</t>
  </si>
  <si>
    <t>1031747</t>
  </si>
  <si>
    <t>HYPERPORT H2 W-LILY PAD/ORCHID BLOOM</t>
  </si>
  <si>
    <t>LILY PAD/ORCHID BLOOM</t>
  </si>
  <si>
    <t>1031794</t>
  </si>
  <si>
    <t>KS86 M-STAR WHITE/BLACK</t>
  </si>
  <si>
    <t>STAR WHITE/BLACK</t>
  </si>
  <si>
    <t>1032114</t>
  </si>
  <si>
    <t>NEWPORT H2 W-MONOCHROME/CAMEO ROSE</t>
  </si>
  <si>
    <t>MONOCHROME/CAMEO ROSE</t>
  </si>
  <si>
    <t>1032115</t>
  </si>
  <si>
    <t>NEWPORT H2 W-MONOCHROME/GARNET</t>
  </si>
  <si>
    <t>MONOCHROME/GARNET</t>
  </si>
  <si>
    <t>1032116</t>
  </si>
  <si>
    <t>NEWPORT H2 W-MONOCHROME/FADED DENIM</t>
  </si>
  <si>
    <t>MONOCHROME/FADED DENIM</t>
  </si>
  <si>
    <t>1032117</t>
  </si>
  <si>
    <t>NEWPORT H2 W-MONOCHROME/LILY PAD</t>
  </si>
  <si>
    <t>MONOCHROME/LILY PAD</t>
  </si>
  <si>
    <t>1031868</t>
  </si>
  <si>
    <t>JASPER ZIONIC W-CORK/BIRCH</t>
  </si>
  <si>
    <t>CORK/BIRCH</t>
  </si>
  <si>
    <t>1032653</t>
  </si>
  <si>
    <t>KS86 W-MEDITERRANEA/BRITTANY BLUE</t>
  </si>
  <si>
    <t>MEDITERRANEA/BRITTANY BLUE</t>
  </si>
  <si>
    <t>ROAM</t>
  </si>
  <si>
    <t>1032335</t>
  </si>
  <si>
    <t>ROAM W-BLACK/BLACK</t>
  </si>
  <si>
    <t>1032350</t>
  </si>
  <si>
    <t>ROAM W-BIRCH/BRINDLE</t>
  </si>
  <si>
    <t>BIRCH/BRINDLE</t>
  </si>
  <si>
    <t>ROSE SANDAL W-BRINDLE/SHITAKE</t>
  </si>
  <si>
    <t>BRINDLE/SHITAKE</t>
  </si>
  <si>
    <t>SHANTI</t>
  </si>
  <si>
    <t>1026263</t>
  </si>
  <si>
    <t>SHANTI W-BLACK/DAWN BLUE</t>
  </si>
  <si>
    <t>BLACK/DAWN BLUE</t>
  </si>
  <si>
    <t>1027373</t>
  </si>
  <si>
    <t>SHANTI W-PLAZA TAUPE/TIMBERWOLF</t>
  </si>
  <si>
    <t>PLAZA TAUPE/TIMBERWOLF</t>
  </si>
  <si>
    <t>1014099</t>
  </si>
  <si>
    <t>UNEEK W-BLACK/BLACK</t>
  </si>
  <si>
    <t>1027445</t>
  </si>
  <si>
    <t>UNEEK W-SAFARI/SAFARI</t>
  </si>
  <si>
    <t>SAFARI/SAFARI</t>
  </si>
  <si>
    <t>WANDER</t>
  </si>
  <si>
    <t>1033151</t>
  </si>
  <si>
    <t>WANDER W-BIRCH/STAR WHITE</t>
  </si>
  <si>
    <t>1028652</t>
  </si>
  <si>
    <t>HYPERPORT H2 M-BLACK/STEEL GREY</t>
  </si>
  <si>
    <t>1031715</t>
  </si>
  <si>
    <t>JASPER M-JAVA/BLACK</t>
  </si>
  <si>
    <t>1029584</t>
  </si>
  <si>
    <t>JASPER ZIONIC M-BLACK/ALLOY</t>
  </si>
  <si>
    <t>BLACK/ALLOY</t>
  </si>
  <si>
    <t>1008399</t>
  </si>
  <si>
    <t>NEWPORT H2 M-RAVEN/ALUMINUM</t>
  </si>
  <si>
    <t>RAVEN/ALUMINUM</t>
  </si>
  <si>
    <t>1030137</t>
  </si>
  <si>
    <t>NEWPORT H2 M-MONOCHROME/DARK EARTH</t>
  </si>
  <si>
    <t>MONOCHROME/DARK EARTH</t>
  </si>
  <si>
    <t>1032323</t>
  </si>
  <si>
    <t>ROAM M-BLACK/BLACK</t>
  </si>
  <si>
    <t>1032324</t>
  </si>
  <si>
    <t>ROAM M-STAR WHITE/VAPOR</t>
  </si>
  <si>
    <t>STAR WHITE/VAPOR</t>
  </si>
  <si>
    <t>1032326</t>
  </si>
  <si>
    <t>ROAM M-MAGNET/BURNT BRICK</t>
  </si>
  <si>
    <t>1028173</t>
  </si>
  <si>
    <t>UNEEK M-WHITE CAP/CORNSTALK</t>
  </si>
  <si>
    <t>1001931</t>
  </si>
  <si>
    <t>NEWPORT H2 M-INDIA INK/RUST</t>
  </si>
  <si>
    <t>INDIA INK/RUST</t>
  </si>
  <si>
    <t>1025028</t>
  </si>
  <si>
    <t>NEWPORT H2 W-TRIPLE BLACK</t>
  </si>
  <si>
    <t>Bodega Matriz</t>
  </si>
  <si>
    <t>PRESIDIO</t>
  </si>
  <si>
    <t>1011400</t>
  </si>
  <si>
    <t>PRESIDIO W-BLACK/MAGNET</t>
  </si>
  <si>
    <t>1011401</t>
  </si>
  <si>
    <t>PRESIDIO W-CASCADE/SHITAKE</t>
  </si>
  <si>
    <t>1030352</t>
  </si>
  <si>
    <t>HIGHTRAIL WP M-BRINDLE/BIRCH</t>
  </si>
  <si>
    <t>ARROYO II</t>
  </si>
  <si>
    <t>1027139</t>
  </si>
  <si>
    <t>ARROYO II M-CANTEEN/BLACK</t>
  </si>
  <si>
    <t>1008419</t>
  </si>
  <si>
    <t>ARROYO II M-BLACK OLIVE/BOMBAY BROWN</t>
  </si>
  <si>
    <t>AUSTIN</t>
  </si>
  <si>
    <t>1007722</t>
  </si>
  <si>
    <t>AUSTIN M-CHOCOLATE BROWN</t>
  </si>
  <si>
    <t>1002990</t>
  </si>
  <si>
    <t>AUSTIN M-BLACK</t>
  </si>
  <si>
    <t>1029441</t>
  </si>
  <si>
    <t>HOWSER III SLIDE M-BLACK/BLACK RECYCLED</t>
  </si>
  <si>
    <t>SEANIK H2</t>
  </si>
  <si>
    <t>1030389</t>
  </si>
  <si>
    <t>SEANIK H2 M-BLACK/MAGNET</t>
  </si>
  <si>
    <t>1030387</t>
  </si>
  <si>
    <t>SEANIK H2 M-FOREST NIGHT/DARK OLIVE</t>
  </si>
  <si>
    <t>HIGHTRAIL MID WP WIDE</t>
  </si>
  <si>
    <t>1030508</t>
  </si>
  <si>
    <t>HIGHTRAIL MID WP WIDE M-BRINDLE/OAK BUFF</t>
  </si>
  <si>
    <t>1031802</t>
  </si>
  <si>
    <t>KS86 W-ALLOY/CAMEO ROSE</t>
  </si>
  <si>
    <t>1031804</t>
  </si>
  <si>
    <t>KS86 W-SKY CAPTAIN/BIRCH</t>
  </si>
  <si>
    <t>HYPERPORT FISHERMAN LEATHER</t>
  </si>
  <si>
    <t>1030722</t>
  </si>
  <si>
    <t>HYPERPORT FISHERMAN LEATHER M-DARK OLIVE</t>
  </si>
  <si>
    <t>1030777</t>
  </si>
  <si>
    <t>KS86 M-STEEL GREY/ALLOY</t>
  </si>
  <si>
    <t>1032297</t>
  </si>
  <si>
    <t>HIGHTRAIL WP M-MAGNET/ALLOY</t>
  </si>
  <si>
    <t>1030723</t>
  </si>
  <si>
    <t>HYPERPORT FISHERMAN LEATHER M-BRINDLE/OA</t>
  </si>
  <si>
    <t>TOTAL MASTER DATA</t>
  </si>
  <si>
    <t>Notas: Transito (15 dias) = pestaña 'En transito' del ATS original. Bodega Matriz: Precio PA = Costo Altura del archivo original. Categoria de Transito/Bodega tomada del ATS USA cuando el material existe alla. 'Otras tallas' = WIDE y tallas fuera de la corrida 1-13.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</si>
</sst>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#,##0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bas\OneDrive\Documentos\Antigravity%20Projects\AlturaBrands_Ops\Pedido%20Keen%20ATS%20060826%20v2.xlsx" TargetMode="External"/><Relationship Id="rId1" Type="http://schemas.openxmlformats.org/officeDocument/2006/relationships/externalLinkPath" Target="/Users/sebas/OneDrive/Documentos/Antigravity%20Projects/AlturaBrands_Ops/Pedido%20Keen%20ATS%20060826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aude Log"/>
      <sheetName val="Parametros"/>
      <sheetName val="Master Data"/>
      <sheetName val="Pedido ECOMM - MKT Place"/>
      <sheetName val="Reserva Territorios"/>
      <sheetName val="Propuesta de Compra"/>
      <sheetName val="imagenes"/>
      <sheetName val="ATS USA"/>
      <sheetName val="En Transito"/>
      <sheetName val="Bodega Matriz"/>
      <sheetName val="Posicion Lanzamiento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e">
            <v>#VALUE!</v>
          </cell>
          <cell r="D1">
            <v>1031166</v>
          </cell>
        </row>
        <row r="2">
          <cell r="A2" t="e">
            <v>#VALUE!</v>
          </cell>
          <cell r="D2">
            <v>1023997</v>
          </cell>
        </row>
        <row r="3">
          <cell r="A3" t="e">
            <v>#VALUE!</v>
          </cell>
          <cell r="D3">
            <v>1032952</v>
          </cell>
        </row>
        <row r="4">
          <cell r="A4" t="e">
            <v>#VALUE!</v>
          </cell>
          <cell r="D4">
            <v>1025550</v>
          </cell>
        </row>
        <row r="5">
          <cell r="A5" t="e">
            <v>#VALUE!</v>
          </cell>
          <cell r="D5">
            <v>1032618</v>
          </cell>
        </row>
        <row r="6">
          <cell r="A6" t="e">
            <v>#VALUE!</v>
          </cell>
          <cell r="D6">
            <v>1032620</v>
          </cell>
        </row>
        <row r="7">
          <cell r="A7" t="e">
            <v>#VALUE!</v>
          </cell>
          <cell r="D7">
            <v>1032621</v>
          </cell>
        </row>
        <row r="8">
          <cell r="A8" t="e">
            <v>#VALUE!</v>
          </cell>
          <cell r="D8">
            <v>1026592</v>
          </cell>
        </row>
        <row r="9">
          <cell r="A9" t="e">
            <v>#VALUE!</v>
          </cell>
          <cell r="D9">
            <v>1032553</v>
          </cell>
        </row>
        <row r="10">
          <cell r="A10" t="e">
            <v>#VALUE!</v>
          </cell>
          <cell r="D10">
            <v>1032554</v>
          </cell>
        </row>
        <row r="11">
          <cell r="A11" t="e">
            <v>#VALUE!</v>
          </cell>
          <cell r="D11">
            <v>1032849</v>
          </cell>
        </row>
        <row r="12">
          <cell r="A12" t="e">
            <v>#VALUE!</v>
          </cell>
          <cell r="D12">
            <v>1029585</v>
          </cell>
        </row>
        <row r="13">
          <cell r="A13" t="e">
            <v>#VALUE!</v>
          </cell>
          <cell r="D13">
            <v>1031790</v>
          </cell>
        </row>
        <row r="14">
          <cell r="A14" t="e">
            <v>#VALUE!</v>
          </cell>
          <cell r="D14">
            <v>1032645</v>
          </cell>
        </row>
        <row r="15">
          <cell r="A15" t="e">
            <v>#VALUE!</v>
          </cell>
          <cell r="D15">
            <v>1032646</v>
          </cell>
        </row>
        <row r="16">
          <cell r="A16" t="e">
            <v>#VALUE!</v>
          </cell>
          <cell r="D16">
            <v>1032647</v>
          </cell>
        </row>
        <row r="17">
          <cell r="A17" t="e">
            <v>#VALUE!</v>
          </cell>
          <cell r="D17">
            <v>1032795</v>
          </cell>
        </row>
        <row r="18">
          <cell r="A18" t="e">
            <v>#VALUE!</v>
          </cell>
          <cell r="D18">
            <v>1032796</v>
          </cell>
        </row>
        <row r="19">
          <cell r="A19" t="e">
            <v>#VALUE!</v>
          </cell>
          <cell r="D19">
            <v>1030622</v>
          </cell>
        </row>
        <row r="20">
          <cell r="A20" t="e">
            <v>#VALUE!</v>
          </cell>
          <cell r="D20">
            <v>1030623</v>
          </cell>
        </row>
        <row r="21">
          <cell r="A21" t="e">
            <v>#VALUE!</v>
          </cell>
          <cell r="D21">
            <v>1029593</v>
          </cell>
        </row>
        <row r="22">
          <cell r="A22" t="e">
            <v>#VALUE!</v>
          </cell>
          <cell r="D22">
            <v>1031797</v>
          </cell>
        </row>
        <row r="23">
          <cell r="A23" t="e">
            <v>#VALUE!</v>
          </cell>
          <cell r="D23">
            <v>1032651</v>
          </cell>
        </row>
        <row r="24">
          <cell r="A24" t="e">
            <v>#VALUE!</v>
          </cell>
          <cell r="D24">
            <v>1031822</v>
          </cell>
        </row>
        <row r="25">
          <cell r="A25" t="e">
            <v>#VALUE!</v>
          </cell>
          <cell r="D25">
            <v>1031824</v>
          </cell>
        </row>
        <row r="26">
          <cell r="A26" t="e">
            <v>#VALUE!</v>
          </cell>
          <cell r="D26">
            <v>1031647</v>
          </cell>
        </row>
        <row r="27">
          <cell r="A27" t="e">
            <v>#VALUE!</v>
          </cell>
          <cell r="D27">
            <v>1031648</v>
          </cell>
        </row>
        <row r="28">
          <cell r="A28" t="e">
            <v>#VALUE!</v>
          </cell>
          <cell r="D28">
            <v>1031173</v>
          </cell>
        </row>
        <row r="29">
          <cell r="A29" t="e">
            <v>#VALUE!</v>
          </cell>
          <cell r="D29">
            <v>1031163</v>
          </cell>
        </row>
        <row r="30">
          <cell r="A30" t="e">
            <v>#VALUE!</v>
          </cell>
          <cell r="D30">
            <v>1031164</v>
          </cell>
        </row>
        <row r="31">
          <cell r="A31" t="e">
            <v>#VALUE!</v>
          </cell>
          <cell r="D31">
            <v>1031174</v>
          </cell>
        </row>
        <row r="32">
          <cell r="A32" t="e">
            <v>#VALUE!</v>
          </cell>
          <cell r="D32">
            <v>1022620</v>
          </cell>
        </row>
        <row r="33">
          <cell r="A33" t="e">
            <v>#VALUE!</v>
          </cell>
          <cell r="D33">
            <v>1027160</v>
          </cell>
        </row>
        <row r="34">
          <cell r="A34" t="e">
            <v>#VALUE!</v>
          </cell>
          <cell r="D34">
            <v>1031702</v>
          </cell>
        </row>
        <row r="35">
          <cell r="A35" t="e">
            <v>#VALUE!</v>
          </cell>
          <cell r="D35">
            <v>1031703</v>
          </cell>
        </row>
        <row r="36">
          <cell r="A36" t="e">
            <v>#VALUE!</v>
          </cell>
          <cell r="D36">
            <v>1030141</v>
          </cell>
        </row>
        <row r="37">
          <cell r="A37" t="e">
            <v>#VALUE!</v>
          </cell>
          <cell r="D37">
            <v>1030988</v>
          </cell>
        </row>
        <row r="38">
          <cell r="A38" t="e">
            <v>#VALUE!</v>
          </cell>
          <cell r="D38">
            <v>1030987</v>
          </cell>
        </row>
        <row r="39">
          <cell r="A39" t="e">
            <v>#VALUE!</v>
          </cell>
          <cell r="D39">
            <v>1032524</v>
          </cell>
        </row>
        <row r="40">
          <cell r="A40" t="e">
            <v>#VALUE!</v>
          </cell>
          <cell r="D40">
            <v>1031897</v>
          </cell>
        </row>
        <row r="41">
          <cell r="A41" t="e">
            <v>#VALUE!</v>
          </cell>
          <cell r="D41">
            <v>1031898</v>
          </cell>
        </row>
        <row r="42">
          <cell r="A42" t="e">
            <v>#VALUE!</v>
          </cell>
          <cell r="D42">
            <v>1031901</v>
          </cell>
        </row>
        <row r="43">
          <cell r="A43" t="e">
            <v>#VALUE!</v>
          </cell>
          <cell r="D43">
            <v>1031168</v>
          </cell>
        </row>
        <row r="44">
          <cell r="A44" t="e">
            <v>#VALUE!</v>
          </cell>
          <cell r="D44">
            <v>1031169</v>
          </cell>
        </row>
        <row r="45">
          <cell r="A45" t="e">
            <v>#VALUE!</v>
          </cell>
          <cell r="D45">
            <v>1031170</v>
          </cell>
        </row>
        <row r="46">
          <cell r="A46" t="e">
            <v>#VALUE!</v>
          </cell>
          <cell r="D46">
            <v>1031171</v>
          </cell>
        </row>
        <row r="47">
          <cell r="A47" t="e">
            <v>#VALUE!</v>
          </cell>
          <cell r="D47">
            <v>1031172</v>
          </cell>
        </row>
        <row r="48">
          <cell r="A48" t="e">
            <v>#VALUE!</v>
          </cell>
          <cell r="D48">
            <v>1023981</v>
          </cell>
        </row>
        <row r="49">
          <cell r="A49" t="e">
            <v>#VALUE!</v>
          </cell>
          <cell r="D49">
            <v>1029731</v>
          </cell>
        </row>
        <row r="50">
          <cell r="A50" t="e">
            <v>#VALUE!</v>
          </cell>
          <cell r="D50">
            <v>1028162</v>
          </cell>
        </row>
        <row r="51">
          <cell r="A51" t="e">
            <v>#VALUE!</v>
          </cell>
          <cell r="D51">
            <v>1029437</v>
          </cell>
        </row>
        <row r="52">
          <cell r="A52" t="e">
            <v>#VALUE!</v>
          </cell>
          <cell r="D52">
            <v>1031040</v>
          </cell>
        </row>
        <row r="53">
          <cell r="A53" t="e">
            <v>#VALUE!</v>
          </cell>
          <cell r="D53">
            <v>1031045</v>
          </cell>
        </row>
        <row r="54">
          <cell r="A54" t="e">
            <v>#VALUE!</v>
          </cell>
          <cell r="D54">
            <v>1032613</v>
          </cell>
        </row>
        <row r="55">
          <cell r="A55" t="e">
            <v>#VALUE!</v>
          </cell>
          <cell r="D55">
            <v>1032616</v>
          </cell>
        </row>
        <row r="56">
          <cell r="A56" t="e">
            <v>#VALUE!</v>
          </cell>
          <cell r="D56">
            <v>1004337</v>
          </cell>
        </row>
        <row r="57">
          <cell r="A57" t="e">
            <v>#VALUE!</v>
          </cell>
          <cell r="D57">
            <v>1026259</v>
          </cell>
        </row>
        <row r="58">
          <cell r="A58" t="e">
            <v>#VALUE!</v>
          </cell>
          <cell r="D58">
            <v>1030557</v>
          </cell>
        </row>
        <row r="59">
          <cell r="A59" t="e">
            <v>#VALUE!</v>
          </cell>
          <cell r="D59">
            <v>1032940</v>
          </cell>
        </row>
        <row r="60">
          <cell r="A60" t="e">
            <v>#VALUE!</v>
          </cell>
          <cell r="D60">
            <v>1032941</v>
          </cell>
        </row>
        <row r="61">
          <cell r="A61" t="e">
            <v>#VALUE!</v>
          </cell>
          <cell r="D61">
            <v>1032946</v>
          </cell>
        </row>
        <row r="62">
          <cell r="A62" t="e">
            <v>#VALUE!</v>
          </cell>
          <cell r="D62">
            <v>1032555</v>
          </cell>
        </row>
        <row r="63">
          <cell r="A63" t="e">
            <v>#VALUE!</v>
          </cell>
          <cell r="D63">
            <v>1032556</v>
          </cell>
        </row>
        <row r="64">
          <cell r="A64" t="e">
            <v>#VALUE!</v>
          </cell>
          <cell r="D64">
            <v>1032850</v>
          </cell>
        </row>
        <row r="65">
          <cell r="A65" t="e">
            <v>#VALUE!</v>
          </cell>
          <cell r="D65">
            <v>1030399</v>
          </cell>
        </row>
        <row r="66">
          <cell r="A66" t="e">
            <v>#VALUE!</v>
          </cell>
          <cell r="D66">
            <v>1031126</v>
          </cell>
        </row>
        <row r="67">
          <cell r="A67" t="e">
            <v>#VALUE!</v>
          </cell>
          <cell r="D67">
            <v>1032665</v>
          </cell>
        </row>
        <row r="68">
          <cell r="A68" t="e">
            <v>#VALUE!</v>
          </cell>
          <cell r="D68">
            <v>1032666</v>
          </cell>
        </row>
        <row r="69">
          <cell r="A69" t="e">
            <v>#VALUE!</v>
          </cell>
          <cell r="D69">
            <v>1032667</v>
          </cell>
        </row>
        <row r="70">
          <cell r="A70" t="e">
            <v>#VALUE!</v>
          </cell>
          <cell r="D70">
            <v>1032668</v>
          </cell>
        </row>
        <row r="71">
          <cell r="A71" t="e">
            <v>#VALUE!</v>
          </cell>
          <cell r="D71">
            <v>1032669</v>
          </cell>
        </row>
        <row r="72">
          <cell r="A72" t="e">
            <v>#VALUE!</v>
          </cell>
          <cell r="D72">
            <v>1031863</v>
          </cell>
        </row>
        <row r="73">
          <cell r="A73" t="e">
            <v>#VALUE!</v>
          </cell>
          <cell r="D73">
            <v>1031866</v>
          </cell>
        </row>
        <row r="74">
          <cell r="A74" t="e">
            <v>#VALUE!</v>
          </cell>
          <cell r="D74">
            <v>1032798</v>
          </cell>
        </row>
        <row r="75">
          <cell r="A75" t="e">
            <v>#VALUE!</v>
          </cell>
          <cell r="D75">
            <v>1032799</v>
          </cell>
        </row>
        <row r="76">
          <cell r="A76" t="e">
            <v>#VALUE!</v>
          </cell>
          <cell r="D76">
            <v>1030626</v>
          </cell>
        </row>
        <row r="77">
          <cell r="A77" t="e">
            <v>#VALUE!</v>
          </cell>
          <cell r="D77">
            <v>1030627</v>
          </cell>
        </row>
        <row r="78">
          <cell r="A78" t="e">
            <v>#VALUE!</v>
          </cell>
          <cell r="D78">
            <v>1031148</v>
          </cell>
        </row>
        <row r="79">
          <cell r="A79" t="e">
            <v>#VALUE!</v>
          </cell>
          <cell r="D79">
            <v>1031149</v>
          </cell>
        </row>
        <row r="80">
          <cell r="A80" t="e">
            <v>#VALUE!</v>
          </cell>
          <cell r="D80">
            <v>1031150</v>
          </cell>
        </row>
        <row r="81">
          <cell r="A81" t="e">
            <v>#VALUE!</v>
          </cell>
          <cell r="D81">
            <v>1031308</v>
          </cell>
        </row>
        <row r="82">
          <cell r="A82" t="e">
            <v>#VALUE!</v>
          </cell>
          <cell r="D82">
            <v>1031310</v>
          </cell>
        </row>
        <row r="83">
          <cell r="A83" t="e">
            <v>#VALUE!</v>
          </cell>
          <cell r="D83">
            <v>1029595</v>
          </cell>
        </row>
        <row r="84">
          <cell r="A84" t="e">
            <v>#VALUE!</v>
          </cell>
          <cell r="D84">
            <v>1029802</v>
          </cell>
        </row>
        <row r="85">
          <cell r="A85" t="e">
            <v>#VALUE!</v>
          </cell>
          <cell r="D85">
            <v>1029594</v>
          </cell>
        </row>
        <row r="86">
          <cell r="A86" t="e">
            <v>#VALUE!</v>
          </cell>
          <cell r="D86">
            <v>1030248</v>
          </cell>
        </row>
        <row r="87">
          <cell r="A87" t="e">
            <v>#VALUE!</v>
          </cell>
          <cell r="D87">
            <v>1031798</v>
          </cell>
        </row>
        <row r="88">
          <cell r="A88" t="e">
            <v>#VALUE!</v>
          </cell>
          <cell r="D88">
            <v>1031799</v>
          </cell>
        </row>
        <row r="89">
          <cell r="A89" t="e">
            <v>#VALUE!</v>
          </cell>
          <cell r="D89">
            <v>1032654</v>
          </cell>
        </row>
        <row r="90">
          <cell r="A90" t="e">
            <v>#VALUE!</v>
          </cell>
          <cell r="D90">
            <v>1032655</v>
          </cell>
        </row>
        <row r="91">
          <cell r="A91" t="e">
            <v>#VALUE!</v>
          </cell>
          <cell r="D91">
            <v>1014097</v>
          </cell>
        </row>
        <row r="92">
          <cell r="A92" t="e">
            <v>#VALUE!</v>
          </cell>
          <cell r="D92">
            <v>1025169</v>
          </cell>
        </row>
        <row r="93">
          <cell r="A93" t="e">
            <v>#VALUE!</v>
          </cell>
          <cell r="D93">
            <v>1028863</v>
          </cell>
        </row>
        <row r="94">
          <cell r="A94" t="e">
            <v>#VALUE!</v>
          </cell>
          <cell r="D94">
            <v>1032783</v>
          </cell>
        </row>
        <row r="95">
          <cell r="A95" t="e">
            <v>#VALUE!</v>
          </cell>
          <cell r="D95">
            <v>1032784</v>
          </cell>
        </row>
        <row r="96">
          <cell r="A96" t="e">
            <v>#VALUE!</v>
          </cell>
          <cell r="D96">
            <v>1032785</v>
          </cell>
        </row>
        <row r="97">
          <cell r="A97" t="e">
            <v>#VALUE!</v>
          </cell>
          <cell r="D97">
            <v>1018698</v>
          </cell>
        </row>
        <row r="98">
          <cell r="A98" t="e">
            <v>#VALUE!</v>
          </cell>
          <cell r="D98">
            <v>1027291</v>
          </cell>
        </row>
        <row r="99">
          <cell r="A99" t="e">
            <v>#VALUE!</v>
          </cell>
          <cell r="D99">
            <v>1032789</v>
          </cell>
        </row>
        <row r="100">
          <cell r="A100" t="e">
            <v>#VALUE!</v>
          </cell>
          <cell r="D100">
            <v>1032787</v>
          </cell>
        </row>
        <row r="101">
          <cell r="A101" t="e">
            <v>#VALUE!</v>
          </cell>
          <cell r="D101">
            <v>1032788</v>
          </cell>
        </row>
        <row r="102">
          <cell r="A102" t="e">
            <v>#VALUE!</v>
          </cell>
          <cell r="D102">
            <v>1032790</v>
          </cell>
        </row>
        <row r="103">
          <cell r="A103" t="e">
            <v>#VALUE!</v>
          </cell>
          <cell r="D103">
            <v>1014456</v>
          </cell>
        </row>
        <row r="104">
          <cell r="A104" t="e">
            <v>#VALUE!</v>
          </cell>
          <cell r="D104">
            <v>1028654</v>
          </cell>
        </row>
        <row r="105">
          <cell r="A105" t="e">
            <v>#VALUE!</v>
          </cell>
          <cell r="D105">
            <v>1030195</v>
          </cell>
        </row>
        <row r="106">
          <cell r="A106" t="e">
            <v>#VALUE!</v>
          </cell>
          <cell r="D106">
            <v>1030611</v>
          </cell>
        </row>
        <row r="107">
          <cell r="A107" t="e">
            <v>#VALUE!</v>
          </cell>
          <cell r="D107">
            <v>1030857</v>
          </cell>
        </row>
        <row r="108">
          <cell r="A108" t="e">
            <v>#VALUE!</v>
          </cell>
          <cell r="D108">
            <v>1031739</v>
          </cell>
        </row>
        <row r="109">
          <cell r="A109" t="e">
            <v>#VALUE!</v>
          </cell>
          <cell r="D109">
            <v>1031743</v>
          </cell>
        </row>
        <row r="110">
          <cell r="A110" t="e">
            <v>#VALUE!</v>
          </cell>
          <cell r="D110">
            <v>1031745</v>
          </cell>
        </row>
        <row r="111">
          <cell r="A111" t="e">
            <v>#VALUE!</v>
          </cell>
          <cell r="D111">
            <v>1029144</v>
          </cell>
        </row>
        <row r="112">
          <cell r="A112" t="e">
            <v>#VALUE!</v>
          </cell>
          <cell r="D112">
            <v>1029143</v>
          </cell>
        </row>
        <row r="113">
          <cell r="A113" t="e">
            <v>#VALUE!</v>
          </cell>
          <cell r="D113">
            <v>1001870</v>
          </cell>
        </row>
        <row r="114">
          <cell r="A114" t="e">
            <v>#VALUE!</v>
          </cell>
          <cell r="D114">
            <v>1001907</v>
          </cell>
        </row>
        <row r="115">
          <cell r="A115" t="e">
            <v>#VALUE!</v>
          </cell>
          <cell r="D115">
            <v>1001938</v>
          </cell>
        </row>
        <row r="116">
          <cell r="A116" t="e">
            <v>#VALUE!</v>
          </cell>
          <cell r="D116">
            <v>1022258</v>
          </cell>
        </row>
        <row r="117">
          <cell r="A117" t="e">
            <v>#VALUE!</v>
          </cell>
          <cell r="D117">
            <v>1030671</v>
          </cell>
        </row>
        <row r="118">
          <cell r="A118" t="e">
            <v>#VALUE!</v>
          </cell>
          <cell r="D118">
            <v>1031691</v>
          </cell>
        </row>
        <row r="119">
          <cell r="A119" t="e">
            <v>#VALUE!</v>
          </cell>
          <cell r="D119">
            <v>1016287</v>
          </cell>
        </row>
        <row r="120">
          <cell r="A120" t="e">
            <v>#VALUE!</v>
          </cell>
          <cell r="D120">
            <v>1032583</v>
          </cell>
        </row>
        <row r="121">
          <cell r="A121" t="e">
            <v>#VALUE!</v>
          </cell>
          <cell r="D121">
            <v>1022423</v>
          </cell>
        </row>
        <row r="122">
          <cell r="A122" t="e">
            <v>#VALUE!</v>
          </cell>
          <cell r="D122">
            <v>1022427</v>
          </cell>
        </row>
        <row r="123">
          <cell r="A123" t="e">
            <v>#VALUE!</v>
          </cell>
          <cell r="D123">
            <v>1029129</v>
          </cell>
        </row>
        <row r="124">
          <cell r="A124" t="e">
            <v>#VALUE!</v>
          </cell>
          <cell r="D124">
            <v>1023594</v>
          </cell>
        </row>
        <row r="125">
          <cell r="A125" t="e">
            <v>#VALUE!</v>
          </cell>
          <cell r="D125">
            <v>1028959</v>
          </cell>
        </row>
        <row r="126">
          <cell r="A126" t="e">
            <v>#VALUE!</v>
          </cell>
          <cell r="D126">
            <v>1030148</v>
          </cell>
        </row>
        <row r="127">
          <cell r="A127" t="e">
            <v>#VALUE!</v>
          </cell>
          <cell r="D127">
            <v>1032224</v>
          </cell>
        </row>
        <row r="128">
          <cell r="A128" t="e">
            <v>#VALUE!</v>
          </cell>
          <cell r="D128">
            <v>1032225</v>
          </cell>
        </row>
        <row r="129">
          <cell r="A129" t="e">
            <v>#VALUE!</v>
          </cell>
          <cell r="D129">
            <v>1032226</v>
          </cell>
        </row>
        <row r="130">
          <cell r="A130" t="e">
            <v>#VALUE!</v>
          </cell>
          <cell r="D130">
            <v>1032812</v>
          </cell>
        </row>
        <row r="131">
          <cell r="A131" t="e">
            <v>#VALUE!</v>
          </cell>
          <cell r="D131">
            <v>1028657</v>
          </cell>
        </row>
        <row r="132">
          <cell r="A132" t="e">
            <v>#VALUE!</v>
          </cell>
          <cell r="D132">
            <v>1028661</v>
          </cell>
        </row>
        <row r="133">
          <cell r="A133" t="e">
            <v>#VALUE!</v>
          </cell>
          <cell r="D133">
            <v>1030678</v>
          </cell>
        </row>
        <row r="134">
          <cell r="A134" t="e">
            <v>#VALUE!</v>
          </cell>
          <cell r="D134">
            <v>1030679</v>
          </cell>
        </row>
        <row r="135">
          <cell r="A135" t="e">
            <v>#VALUE!</v>
          </cell>
          <cell r="D135">
            <v>1031753</v>
          </cell>
        </row>
        <row r="136">
          <cell r="A136" t="e">
            <v>#VALUE!</v>
          </cell>
          <cell r="D136">
            <v>1031750</v>
          </cell>
        </row>
        <row r="137">
          <cell r="A137" t="e">
            <v>#VALUE!</v>
          </cell>
          <cell r="D137">
            <v>1029147</v>
          </cell>
        </row>
        <row r="138">
          <cell r="A138" t="e">
            <v>#VALUE!</v>
          </cell>
          <cell r="D138">
            <v>1026245</v>
          </cell>
        </row>
        <row r="139">
          <cell r="A139" t="e">
            <v>#VALUE!</v>
          </cell>
          <cell r="D139">
            <v>1032118</v>
          </cell>
        </row>
        <row r="140">
          <cell r="A140" t="e">
            <v>#VALUE!</v>
          </cell>
          <cell r="D140">
            <v>1032936</v>
          </cell>
        </row>
        <row r="141">
          <cell r="A141" t="e">
            <v>#VALUE!</v>
          </cell>
          <cell r="D141">
            <v>1032937</v>
          </cell>
        </row>
        <row r="142">
          <cell r="A142" t="e">
            <v>#VALUE!</v>
          </cell>
          <cell r="D142">
            <v>1032938</v>
          </cell>
        </row>
        <row r="143">
          <cell r="A143" t="e">
            <v>#VALUE!</v>
          </cell>
          <cell r="D143">
            <v>1032939</v>
          </cell>
        </row>
        <row r="144">
          <cell r="A144" t="e">
            <v>#VALUE!</v>
          </cell>
          <cell r="D144">
            <v>1032119</v>
          </cell>
        </row>
        <row r="145">
          <cell r="A145" t="e">
            <v>#VALUE!</v>
          </cell>
          <cell r="D145">
            <v>1018822</v>
          </cell>
        </row>
        <row r="146">
          <cell r="A146" t="e">
            <v>#VALUE!</v>
          </cell>
          <cell r="D146">
            <v>1008783</v>
          </cell>
        </row>
        <row r="147">
          <cell r="A147" t="e">
            <v>#VALUE!</v>
          </cell>
          <cell r="D147">
            <v>1016729</v>
          </cell>
        </row>
        <row r="148">
          <cell r="A148" t="e">
            <v>#VALUE!</v>
          </cell>
          <cell r="D148">
            <v>1016733</v>
          </cell>
        </row>
        <row r="149">
          <cell r="A149" t="e">
            <v>#VALUE!</v>
          </cell>
          <cell r="D149">
            <v>1029134</v>
          </cell>
        </row>
        <row r="150">
          <cell r="A150" t="e">
            <v>#VALUE!</v>
          </cell>
          <cell r="D150">
            <v>1022809</v>
          </cell>
        </row>
        <row r="151">
          <cell r="A151" t="e">
            <v>#VALUE!</v>
          </cell>
          <cell r="D151">
            <v>1022810</v>
          </cell>
        </row>
        <row r="152">
          <cell r="A152" t="e">
            <v>#VALUE!</v>
          </cell>
          <cell r="D152">
            <v>1022814</v>
          </cell>
        </row>
        <row r="153">
          <cell r="A153" t="e">
            <v>#VALUE!</v>
          </cell>
          <cell r="D153">
            <v>1032120</v>
          </cell>
        </row>
        <row r="154">
          <cell r="A154" t="e">
            <v>#VALUE!</v>
          </cell>
          <cell r="D154">
            <v>1033032</v>
          </cell>
        </row>
        <row r="155">
          <cell r="A155" t="e">
            <v>#VALUE!</v>
          </cell>
          <cell r="D155">
            <v>1033033</v>
          </cell>
        </row>
        <row r="156">
          <cell r="A156" t="e">
            <v>#VALUE!</v>
          </cell>
          <cell r="D156">
            <v>1031980</v>
          </cell>
        </row>
        <row r="157">
          <cell r="A157" t="e">
            <v>#VALUE!</v>
          </cell>
          <cell r="D157">
            <v>1031981</v>
          </cell>
        </row>
        <row r="158">
          <cell r="A158" t="e">
            <v>#VALUE!</v>
          </cell>
          <cell r="D158">
            <v>1031960</v>
          </cell>
        </row>
        <row r="159">
          <cell r="A159" t="e">
            <v>#VALUE!</v>
          </cell>
          <cell r="D159">
            <v>1031958</v>
          </cell>
        </row>
        <row r="160">
          <cell r="A160" t="e">
            <v>#VALUE!</v>
          </cell>
          <cell r="D160">
            <v>1030343</v>
          </cell>
        </row>
        <row r="161">
          <cell r="A161" t="e">
            <v>#VALUE!</v>
          </cell>
          <cell r="D161">
            <v>1030703</v>
          </cell>
        </row>
        <row r="162">
          <cell r="A162" t="e">
            <v>#VALUE!</v>
          </cell>
          <cell r="D162">
            <v>1031834</v>
          </cell>
        </row>
        <row r="163">
          <cell r="A163" t="e">
            <v>#VALUE!</v>
          </cell>
          <cell r="D163">
            <v>1031835</v>
          </cell>
        </row>
        <row r="164">
          <cell r="A164" t="e">
            <v>#VALUE!</v>
          </cell>
          <cell r="D164">
            <v>1032289</v>
          </cell>
        </row>
        <row r="165">
          <cell r="A165" t="e">
            <v>#VALUE!</v>
          </cell>
          <cell r="D165">
            <v>1031842</v>
          </cell>
        </row>
        <row r="166">
          <cell r="A166" t="e">
            <v>#VALUE!</v>
          </cell>
          <cell r="D166">
            <v>1031844</v>
          </cell>
        </row>
        <row r="167">
          <cell r="A167" t="e">
            <v>#VALUE!</v>
          </cell>
          <cell r="D167">
            <v>1032298</v>
          </cell>
        </row>
        <row r="168">
          <cell r="A168" t="e">
            <v>#VALUE!</v>
          </cell>
          <cell r="D168">
            <v>1030511</v>
          </cell>
        </row>
        <row r="169">
          <cell r="A169" t="e">
            <v>#VALUE!</v>
          </cell>
          <cell r="D169">
            <v>1002435</v>
          </cell>
        </row>
        <row r="170">
          <cell r="A170" t="e">
            <v>#VALUE!</v>
          </cell>
          <cell r="D170">
            <v>1032054</v>
          </cell>
        </row>
        <row r="171">
          <cell r="A171" t="e">
            <v>#VALUE!</v>
          </cell>
          <cell r="D171">
            <v>1032053</v>
          </cell>
        </row>
        <row r="172">
          <cell r="A172" t="e">
            <v>#VALUE!</v>
          </cell>
          <cell r="D172">
            <v>1032515</v>
          </cell>
        </row>
        <row r="173">
          <cell r="A173" t="e">
            <v>#VALUE!</v>
          </cell>
          <cell r="D173">
            <v>1032341</v>
          </cell>
        </row>
        <row r="174">
          <cell r="A174" t="e">
            <v>#VALUE!</v>
          </cell>
          <cell r="D174">
            <v>1032811</v>
          </cell>
        </row>
        <row r="175">
          <cell r="A175" t="e">
            <v>#VALUE!</v>
          </cell>
          <cell r="D175">
            <v>1032033</v>
          </cell>
        </row>
        <row r="176">
          <cell r="A176" t="e">
            <v>#VALUE!</v>
          </cell>
          <cell r="D176">
            <v>1032287</v>
          </cell>
        </row>
        <row r="177">
          <cell r="A177" t="e">
            <v>#VALUE!</v>
          </cell>
          <cell r="D177">
            <v>1032032</v>
          </cell>
        </row>
        <row r="178">
          <cell r="A178" t="e">
            <v>#VALUE!</v>
          </cell>
          <cell r="D178">
            <v>1032768</v>
          </cell>
        </row>
        <row r="179">
          <cell r="A179" t="e">
            <v>#VALUE!</v>
          </cell>
          <cell r="D179">
            <v>1033306</v>
          </cell>
        </row>
        <row r="180">
          <cell r="A180" t="e">
            <v>#VALUE!</v>
          </cell>
          <cell r="D180">
            <v>1008418</v>
          </cell>
        </row>
        <row r="181">
          <cell r="A181" t="e">
            <v>#VALUE!</v>
          </cell>
          <cell r="D181">
            <v>1032588</v>
          </cell>
        </row>
        <row r="182">
          <cell r="A182" t="e">
            <v>#VALUE!</v>
          </cell>
          <cell r="D182">
            <v>1017346</v>
          </cell>
        </row>
        <row r="183">
          <cell r="A183" t="e">
            <v>#VALUE!</v>
          </cell>
          <cell r="D183">
            <v>1032971</v>
          </cell>
        </row>
        <row r="184">
          <cell r="A184" t="e">
            <v>#VALUE!</v>
          </cell>
          <cell r="D184">
            <v>1008417</v>
          </cell>
        </row>
        <row r="185">
          <cell r="A185" t="e">
            <v>#VALUE!</v>
          </cell>
          <cell r="D185">
            <v>1015704</v>
          </cell>
        </row>
        <row r="186">
          <cell r="A186" t="e">
            <v>#VALUE!</v>
          </cell>
          <cell r="D186">
            <v>1028988</v>
          </cell>
        </row>
        <row r="187">
          <cell r="A187" t="e">
            <v>#VALUE!</v>
          </cell>
          <cell r="D187">
            <v>1030688</v>
          </cell>
        </row>
        <row r="188">
          <cell r="A188" t="e">
            <v>#VALUE!</v>
          </cell>
          <cell r="D188">
            <v>1031773</v>
          </cell>
        </row>
        <row r="189">
          <cell r="A189" t="e">
            <v>#VALUE!</v>
          </cell>
          <cell r="D189">
            <v>1032633</v>
          </cell>
        </row>
        <row r="190">
          <cell r="A190" t="e">
            <v>#VALUE!</v>
          </cell>
          <cell r="D190">
            <v>1032634</v>
          </cell>
        </row>
        <row r="191">
          <cell r="A191" t="e">
            <v>#VALUE!</v>
          </cell>
          <cell r="D191">
            <v>1029002</v>
          </cell>
        </row>
        <row r="192">
          <cell r="A192" t="e">
            <v>#VALUE!</v>
          </cell>
          <cell r="D192">
            <v>1031782</v>
          </cell>
        </row>
        <row r="193">
          <cell r="A193" t="e">
            <v>#VALUE!</v>
          </cell>
          <cell r="D193">
            <v>1028998</v>
          </cell>
        </row>
        <row r="194">
          <cell r="A194" t="e">
            <v>#VALUE!</v>
          </cell>
          <cell r="D194">
            <v>1028997</v>
          </cell>
        </row>
        <row r="195">
          <cell r="A195" t="e">
            <v>#VALUE!</v>
          </cell>
          <cell r="D195">
            <v>1029827</v>
          </cell>
        </row>
        <row r="196">
          <cell r="A196" t="e">
            <v>#VALUE!</v>
          </cell>
          <cell r="D196">
            <v>1030691</v>
          </cell>
        </row>
        <row r="197">
          <cell r="A197" t="e">
            <v>#VALUE!</v>
          </cell>
          <cell r="D197">
            <v>1031781</v>
          </cell>
        </row>
        <row r="198">
          <cell r="A198" t="e">
            <v>#VALUE!</v>
          </cell>
          <cell r="D198">
            <v>1029746</v>
          </cell>
        </row>
        <row r="199">
          <cell r="A199" t="e">
            <v>#VALUE!</v>
          </cell>
          <cell r="D199">
            <v>1030348</v>
          </cell>
        </row>
        <row r="200">
          <cell r="A200" t="e">
            <v>#VALUE!</v>
          </cell>
          <cell r="D200">
            <v>1031836</v>
          </cell>
        </row>
        <row r="201">
          <cell r="A201" t="e">
            <v>#VALUE!</v>
          </cell>
          <cell r="D201">
            <v>1032291</v>
          </cell>
        </row>
        <row r="202">
          <cell r="A202" t="e">
            <v>#VALUE!</v>
          </cell>
          <cell r="D202">
            <v>1032292</v>
          </cell>
        </row>
        <row r="203">
          <cell r="A203" t="e">
            <v>#VALUE!</v>
          </cell>
          <cell r="D203">
            <v>1032293</v>
          </cell>
        </row>
        <row r="204">
          <cell r="A204" t="e">
            <v>#VALUE!</v>
          </cell>
          <cell r="D204">
            <v>1030349</v>
          </cell>
        </row>
        <row r="205">
          <cell r="A205" t="e">
            <v>#VALUE!</v>
          </cell>
          <cell r="D205">
            <v>1030351</v>
          </cell>
        </row>
        <row r="206">
          <cell r="A206" t="e">
            <v>#VALUE!</v>
          </cell>
          <cell r="D206">
            <v>1031839</v>
          </cell>
        </row>
        <row r="207">
          <cell r="A207" t="e">
            <v>#VALUE!</v>
          </cell>
          <cell r="D207">
            <v>1004156</v>
          </cell>
        </row>
        <row r="208">
          <cell r="A208" t="e">
            <v>#VALUE!</v>
          </cell>
          <cell r="D208">
            <v>1032049</v>
          </cell>
        </row>
        <row r="209">
          <cell r="A209" t="e">
            <v>#VALUE!</v>
          </cell>
          <cell r="D209">
            <v>1032045</v>
          </cell>
        </row>
        <row r="210">
          <cell r="A210" t="e">
            <v>#VALUE!</v>
          </cell>
          <cell r="D210">
            <v>1032047</v>
          </cell>
        </row>
        <row r="211">
          <cell r="A211" t="e">
            <v>#VALUE!</v>
          </cell>
          <cell r="D211">
            <v>1032050</v>
          </cell>
        </row>
        <row r="212">
          <cell r="A212" t="e">
            <v>#VALUE!</v>
          </cell>
          <cell r="D212">
            <v>1032040</v>
          </cell>
        </row>
        <row r="213">
          <cell r="A213" t="e">
            <v>#VALUE!</v>
          </cell>
          <cell r="D213">
            <v>1032217</v>
          </cell>
        </row>
        <row r="214">
          <cell r="A214" t="e">
            <v>#VALUE!</v>
          </cell>
          <cell r="D214">
            <v>1032636</v>
          </cell>
        </row>
        <row r="215">
          <cell r="A215" t="e">
            <v>#VALUE!</v>
          </cell>
          <cell r="D215">
            <v>1032637</v>
          </cell>
        </row>
        <row r="216">
          <cell r="A216" t="e">
            <v>#VALUE!</v>
          </cell>
          <cell r="D216">
            <v>1029017</v>
          </cell>
        </row>
        <row r="217">
          <cell r="A217" t="e">
            <v>#VALUE!</v>
          </cell>
          <cell r="D217">
            <v>1033305</v>
          </cell>
        </row>
        <row r="218">
          <cell r="A218" t="e">
            <v>#VALUE!</v>
          </cell>
          <cell r="D218">
            <v>1029000</v>
          </cell>
        </row>
        <row r="219">
          <cell r="A219" t="e">
            <v>#VALUE!</v>
          </cell>
          <cell r="D219">
            <v>1028992</v>
          </cell>
        </row>
        <row r="220">
          <cell r="A220" t="e">
            <v>#VALUE!</v>
          </cell>
          <cell r="D220">
            <v>1031778</v>
          </cell>
        </row>
        <row r="221">
          <cell r="A221" t="e">
            <v>#VALUE!</v>
          </cell>
          <cell r="D221">
            <v>1032232</v>
          </cell>
        </row>
        <row r="222">
          <cell r="A222" t="e">
            <v>#VALUE!</v>
          </cell>
          <cell r="D222">
            <v>1032220</v>
          </cell>
        </row>
        <row r="223">
          <cell r="A223" t="e">
            <v>#VALUE!</v>
          </cell>
          <cell r="D223">
            <v>1032072</v>
          </cell>
        </row>
        <row r="224">
          <cell r="A224" t="e">
            <v>#VALUE!</v>
          </cell>
          <cell r="D224">
            <v>1032219</v>
          </cell>
        </row>
        <row r="225">
          <cell r="A225" t="e">
            <v>#VALUE!</v>
          </cell>
          <cell r="D225">
            <v>1032066</v>
          </cell>
        </row>
        <row r="226">
          <cell r="A226" t="e">
            <v>#VALUE!</v>
          </cell>
          <cell r="D226">
            <v>1032067</v>
          </cell>
        </row>
        <row r="227">
          <cell r="A227" t="e">
            <v>#VALUE!</v>
          </cell>
          <cell r="D227">
            <v>1032063</v>
          </cell>
        </row>
        <row r="228">
          <cell r="A228" t="e">
            <v>#VALUE!</v>
          </cell>
          <cell r="D228">
            <v>1032069</v>
          </cell>
        </row>
        <row r="229">
          <cell r="A229" t="e">
            <v>#VALUE!</v>
          </cell>
          <cell r="D229">
            <v>1032003</v>
          </cell>
        </row>
        <row r="230">
          <cell r="A230" t="e">
            <v>#VALUE!</v>
          </cell>
          <cell r="D230">
            <v>1031992</v>
          </cell>
        </row>
        <row r="231">
          <cell r="A231" t="e">
            <v>#VALUE!</v>
          </cell>
          <cell r="D231">
            <v>1032002</v>
          </cell>
        </row>
        <row r="232">
          <cell r="A232" t="e">
            <v>#VALUE!</v>
          </cell>
          <cell r="D232">
            <v>1031991</v>
          </cell>
        </row>
        <row r="233">
          <cell r="A233" t="e">
            <v>#VALUE!</v>
          </cell>
          <cell r="D233">
            <v>1031921</v>
          </cell>
        </row>
        <row r="234">
          <cell r="A234" t="e">
            <v>#VALUE!</v>
          </cell>
          <cell r="D234">
            <v>1031922</v>
          </cell>
        </row>
        <row r="235">
          <cell r="A235" t="e">
            <v>#VALUE!</v>
          </cell>
          <cell r="D235">
            <v>1031923</v>
          </cell>
        </row>
        <row r="236">
          <cell r="A236" t="e">
            <v>#VALUE!</v>
          </cell>
          <cell r="D236">
            <v>1031927</v>
          </cell>
        </row>
        <row r="237">
          <cell r="A237" t="e">
            <v>#VALUE!</v>
          </cell>
          <cell r="D237">
            <v>1031915</v>
          </cell>
        </row>
        <row r="238">
          <cell r="A238" t="e">
            <v>#VALUE!</v>
          </cell>
          <cell r="D238">
            <v>1031918</v>
          </cell>
        </row>
        <row r="239">
          <cell r="A239" t="e">
            <v>#VALUE!</v>
          </cell>
          <cell r="D239">
            <v>1031924</v>
          </cell>
        </row>
        <row r="240">
          <cell r="A240" t="e">
            <v>#VALUE!</v>
          </cell>
          <cell r="D240">
            <v>1031910</v>
          </cell>
        </row>
        <row r="241">
          <cell r="A241" t="e">
            <v>#VALUE!</v>
          </cell>
          <cell r="D241">
            <v>1032827</v>
          </cell>
        </row>
        <row r="242">
          <cell r="A242" t="e">
            <v>#VALUE!</v>
          </cell>
          <cell r="D242">
            <v>1032743</v>
          </cell>
        </row>
        <row r="243">
          <cell r="A243" t="e">
            <v>#VALUE!</v>
          </cell>
          <cell r="D243">
            <v>1032830</v>
          </cell>
        </row>
        <row r="244">
          <cell r="A244" t="e">
            <v>#VALUE!</v>
          </cell>
          <cell r="D244">
            <v>1032740</v>
          </cell>
        </row>
        <row r="245">
          <cell r="A245" t="e">
            <v>#VALUE!</v>
          </cell>
          <cell r="D245">
            <v>1032832</v>
          </cell>
        </row>
        <row r="246">
          <cell r="A246" t="e">
            <v>#VALUE!</v>
          </cell>
          <cell r="D246">
            <v>1032742</v>
          </cell>
        </row>
        <row r="247">
          <cell r="A247" t="e">
            <v>#VALUE!</v>
          </cell>
          <cell r="D247">
            <v>1032829</v>
          </cell>
        </row>
        <row r="248">
          <cell r="A248" t="e">
            <v>#VALUE!</v>
          </cell>
          <cell r="D248">
            <v>1032741</v>
          </cell>
        </row>
        <row r="249">
          <cell r="A249" t="e">
            <v>#VALUE!</v>
          </cell>
          <cell r="D249">
            <v>1032777</v>
          </cell>
        </row>
        <row r="250">
          <cell r="A250" t="e">
            <v>#VALUE!</v>
          </cell>
          <cell r="D250">
            <v>1032058</v>
          </cell>
        </row>
        <row r="251">
          <cell r="A251" t="e">
            <v>#VALUE!</v>
          </cell>
          <cell r="D251">
            <v>1032019</v>
          </cell>
        </row>
        <row r="252">
          <cell r="A252" t="e">
            <v>#VALUE!</v>
          </cell>
          <cell r="D252">
            <v>1032057</v>
          </cell>
        </row>
        <row r="253">
          <cell r="A253" t="e">
            <v>#VALUE!</v>
          </cell>
          <cell r="D253">
            <v>1032020</v>
          </cell>
        </row>
        <row r="254">
          <cell r="A254" t="e">
            <v>#VALUE!</v>
          </cell>
          <cell r="D254">
            <v>1032778</v>
          </cell>
        </row>
        <row r="255">
          <cell r="A255" t="e">
            <v>#VALUE!</v>
          </cell>
          <cell r="D255">
            <v>1032737</v>
          </cell>
        </row>
        <row r="256">
          <cell r="A256" t="e">
            <v>#VALUE!</v>
          </cell>
          <cell r="D256">
            <v>1032779</v>
          </cell>
        </row>
        <row r="257">
          <cell r="A257" t="e">
            <v>#VALUE!</v>
          </cell>
          <cell r="D257">
            <v>1032735</v>
          </cell>
        </row>
        <row r="258">
          <cell r="A258" t="e">
            <v>#VALUE!</v>
          </cell>
          <cell r="D258">
            <v>1032060</v>
          </cell>
        </row>
        <row r="259">
          <cell r="A259" t="e">
            <v>#VALUE!</v>
          </cell>
          <cell r="D259">
            <v>1032022</v>
          </cell>
        </row>
        <row r="260">
          <cell r="A260" t="e">
            <v>#VALUE!</v>
          </cell>
          <cell r="D260">
            <v>1032780</v>
          </cell>
        </row>
        <row r="261">
          <cell r="A261" t="e">
            <v>#VALUE!</v>
          </cell>
          <cell r="D261">
            <v>1032733</v>
          </cell>
        </row>
        <row r="262">
          <cell r="A262" t="e">
            <v>#VALUE!</v>
          </cell>
          <cell r="D262">
            <v>1030828</v>
          </cell>
        </row>
        <row r="263">
          <cell r="A263" t="e">
            <v>#VALUE!</v>
          </cell>
          <cell r="D263">
            <v>1031271</v>
          </cell>
        </row>
        <row r="264">
          <cell r="A264" t="e">
            <v>#VALUE!</v>
          </cell>
          <cell r="D264">
            <v>1031393</v>
          </cell>
        </row>
        <row r="265">
          <cell r="A265" t="e">
            <v>#VALUE!</v>
          </cell>
          <cell r="D265">
            <v>1031284</v>
          </cell>
        </row>
        <row r="266">
          <cell r="A266" t="e">
            <v>#VALUE!</v>
          </cell>
          <cell r="D266">
            <v>1031287</v>
          </cell>
        </row>
        <row r="267">
          <cell r="A267" t="e">
            <v>#VALUE!</v>
          </cell>
          <cell r="D267">
            <v>1028832</v>
          </cell>
        </row>
        <row r="268">
          <cell r="A268" t="e">
            <v>#VALUE!</v>
          </cell>
          <cell r="D268">
            <v>1018363</v>
          </cell>
        </row>
        <row r="269">
          <cell r="A269" t="e">
            <v>#VALUE!</v>
          </cell>
          <cell r="D269">
            <v>1029140</v>
          </cell>
        </row>
        <row r="270">
          <cell r="A270" t="e">
            <v>#VALUE!</v>
          </cell>
          <cell r="D270">
            <v>1018441</v>
          </cell>
        </row>
        <row r="271">
          <cell r="A271" t="e">
            <v>#VALUE!</v>
          </cell>
          <cell r="D271">
            <v>1030791</v>
          </cell>
        </row>
        <row r="272">
          <cell r="A272" t="e">
            <v>#VALUE!</v>
          </cell>
          <cell r="D272">
            <v>1028850</v>
          </cell>
        </row>
        <row r="273">
          <cell r="A273" t="e">
            <v>#VALUE!</v>
          </cell>
          <cell r="D273">
            <v>1030813</v>
          </cell>
        </row>
        <row r="274">
          <cell r="A274" t="e">
            <v>#VALUE!</v>
          </cell>
          <cell r="D274">
            <v>1030768</v>
          </cell>
        </row>
        <row r="275">
          <cell r="A275" t="e">
            <v>#VALUE!</v>
          </cell>
          <cell r="D275">
            <v>1029615</v>
          </cell>
        </row>
        <row r="276">
          <cell r="A276" t="e">
            <v>#VALUE!</v>
          </cell>
          <cell r="D276">
            <v>1029804</v>
          </cell>
        </row>
        <row r="277">
          <cell r="A277" t="e">
            <v>#VALUE!</v>
          </cell>
          <cell r="D277">
            <v>1029794</v>
          </cell>
        </row>
        <row r="278">
          <cell r="A278" t="e">
            <v>#VALUE!</v>
          </cell>
          <cell r="D278">
            <v>1029613</v>
          </cell>
        </row>
        <row r="279">
          <cell r="A279" t="e">
            <v>#VALUE!</v>
          </cell>
          <cell r="D279">
            <v>1029610</v>
          </cell>
        </row>
        <row r="280">
          <cell r="A280" t="e">
            <v>#VALUE!</v>
          </cell>
          <cell r="D280">
            <v>1032658</v>
          </cell>
        </row>
        <row r="281">
          <cell r="A281" t="e">
            <v>#VALUE!</v>
          </cell>
          <cell r="D281">
            <v>1032643</v>
          </cell>
        </row>
        <row r="282">
          <cell r="A282" t="e">
            <v>#VALUE!</v>
          </cell>
          <cell r="D282">
            <v>1031250</v>
          </cell>
        </row>
        <row r="283">
          <cell r="A283" t="e">
            <v>#VALUE!</v>
          </cell>
          <cell r="D283">
            <v>1031137</v>
          </cell>
        </row>
        <row r="284">
          <cell r="A284" t="e">
            <v>#VALUE!</v>
          </cell>
          <cell r="D284">
            <v>1032673</v>
          </cell>
        </row>
        <row r="285">
          <cell r="A285" t="e">
            <v>#VALUE!</v>
          </cell>
          <cell r="D285">
            <v>1001942</v>
          </cell>
        </row>
        <row r="286">
          <cell r="A286" t="e">
            <v>#VALUE!</v>
          </cell>
          <cell r="D286">
            <v>1003480</v>
          </cell>
        </row>
        <row r="287">
          <cell r="A287" t="e">
            <v>#VALUE!</v>
          </cell>
          <cell r="D287">
            <v>1028959</v>
          </cell>
        </row>
        <row r="288">
          <cell r="A288" t="e">
            <v>#VALUE!</v>
          </cell>
          <cell r="D288">
            <v>1028992</v>
          </cell>
        </row>
        <row r="289">
          <cell r="A289" t="e">
            <v>#VALUE!</v>
          </cell>
          <cell r="D289">
            <v>1028993</v>
          </cell>
        </row>
        <row r="290">
          <cell r="A290" t="e">
            <v>#VALUE!</v>
          </cell>
          <cell r="D290">
            <v>1030343</v>
          </cell>
        </row>
        <row r="291">
          <cell r="A291" t="e">
            <v>#VALUE!</v>
          </cell>
          <cell r="D291">
            <v>1030349</v>
          </cell>
        </row>
        <row r="292">
          <cell r="A292" t="e">
            <v>#VALUE!</v>
          </cell>
          <cell r="D292">
            <v>1030861</v>
          </cell>
        </row>
        <row r="293">
          <cell r="A293" t="e">
            <v>#VALUE!</v>
          </cell>
          <cell r="D293">
            <v>1031126</v>
          </cell>
        </row>
        <row r="294">
          <cell r="A294" t="e">
            <v>#VALUE!</v>
          </cell>
          <cell r="D294">
            <v>1031129</v>
          </cell>
        </row>
        <row r="295">
          <cell r="A295" t="e">
            <v>#VALUE!</v>
          </cell>
          <cell r="D295">
            <v>1031688</v>
          </cell>
        </row>
        <row r="296">
          <cell r="A296" t="e">
            <v>#VALUE!</v>
          </cell>
          <cell r="D296">
            <v>1031691</v>
          </cell>
        </row>
        <row r="297">
          <cell r="A297" t="e">
            <v>#VALUE!</v>
          </cell>
          <cell r="D297">
            <v>1031739</v>
          </cell>
        </row>
        <row r="298">
          <cell r="A298" t="e">
            <v>#VALUE!</v>
          </cell>
          <cell r="D298">
            <v>1031741</v>
          </cell>
        </row>
        <row r="299">
          <cell r="A299" t="e">
            <v>#VALUE!</v>
          </cell>
          <cell r="D299">
            <v>1031747</v>
          </cell>
        </row>
        <row r="300">
          <cell r="A300" t="e">
            <v>#VALUE!</v>
          </cell>
          <cell r="D300">
            <v>1031794</v>
          </cell>
        </row>
        <row r="301">
          <cell r="A301" t="e">
            <v>#VALUE!</v>
          </cell>
          <cell r="D301">
            <v>1032114</v>
          </cell>
        </row>
        <row r="302">
          <cell r="A302" t="e">
            <v>#VALUE!</v>
          </cell>
          <cell r="D302">
            <v>1032115</v>
          </cell>
        </row>
        <row r="303">
          <cell r="A303" t="e">
            <v>#VALUE!</v>
          </cell>
          <cell r="D303">
            <v>1032116</v>
          </cell>
        </row>
        <row r="304">
          <cell r="A304" t="e">
            <v>#VALUE!</v>
          </cell>
          <cell r="D304">
            <v>1032117</v>
          </cell>
        </row>
        <row r="305">
          <cell r="A305" t="e">
            <v>#VALUE!</v>
          </cell>
          <cell r="D305">
            <v>1028657</v>
          </cell>
        </row>
        <row r="306">
          <cell r="A306" t="e">
            <v>#VALUE!</v>
          </cell>
          <cell r="D306">
            <v>1028661</v>
          </cell>
        </row>
        <row r="307">
          <cell r="A307" t="e">
            <v>#VALUE!</v>
          </cell>
          <cell r="D307">
            <v>1030678</v>
          </cell>
        </row>
        <row r="308">
          <cell r="A308" t="e">
            <v>#VALUE!</v>
          </cell>
          <cell r="D308">
            <v>1030679</v>
          </cell>
        </row>
        <row r="309">
          <cell r="A309" t="e">
            <v>#VALUE!</v>
          </cell>
          <cell r="D309">
            <v>1031750</v>
          </cell>
        </row>
        <row r="310">
          <cell r="A310" t="e">
            <v>#VALUE!</v>
          </cell>
          <cell r="D310">
            <v>1030557</v>
          </cell>
        </row>
        <row r="311">
          <cell r="A311" t="e">
            <v>#VALUE!</v>
          </cell>
          <cell r="D311">
            <v>1031868</v>
          </cell>
        </row>
        <row r="312">
          <cell r="A312" t="e">
            <v>#VALUE!</v>
          </cell>
          <cell r="D312">
            <v>1029595</v>
          </cell>
        </row>
        <row r="313">
          <cell r="A313" t="e">
            <v>#VALUE!</v>
          </cell>
          <cell r="D313">
            <v>1032653</v>
          </cell>
        </row>
        <row r="314">
          <cell r="A314" t="e">
            <v>#VALUE!</v>
          </cell>
          <cell r="D314">
            <v>1032654</v>
          </cell>
        </row>
        <row r="315">
          <cell r="A315" t="e">
            <v>#VALUE!</v>
          </cell>
          <cell r="D315">
            <v>1032655</v>
          </cell>
        </row>
        <row r="316">
          <cell r="A316" t="e">
            <v>#VALUE!</v>
          </cell>
          <cell r="D316">
            <v>1026245</v>
          </cell>
        </row>
        <row r="317">
          <cell r="A317" t="e">
            <v>#VALUE!</v>
          </cell>
          <cell r="D317">
            <v>1032335</v>
          </cell>
        </row>
        <row r="318">
          <cell r="A318" t="e">
            <v>#VALUE!</v>
          </cell>
          <cell r="D318">
            <v>1032350</v>
          </cell>
        </row>
        <row r="319">
          <cell r="A319" t="e">
            <v>#VALUE!</v>
          </cell>
          <cell r="D319">
            <v>1008783</v>
          </cell>
        </row>
        <row r="320">
          <cell r="A320" t="e">
            <v>#VALUE!</v>
          </cell>
          <cell r="D320">
            <v>1016729</v>
          </cell>
        </row>
        <row r="321">
          <cell r="A321" t="e">
            <v>#VALUE!</v>
          </cell>
          <cell r="D321">
            <v>1026263</v>
          </cell>
        </row>
        <row r="322">
          <cell r="A322" t="e">
            <v>#VALUE!</v>
          </cell>
          <cell r="D322">
            <v>1027373</v>
          </cell>
        </row>
        <row r="323">
          <cell r="A323" t="e">
            <v>#VALUE!</v>
          </cell>
          <cell r="D323">
            <v>1014099</v>
          </cell>
        </row>
        <row r="324">
          <cell r="A324" t="e">
            <v>#VALUE!</v>
          </cell>
          <cell r="D324">
            <v>1027445</v>
          </cell>
        </row>
        <row r="325">
          <cell r="A325" t="e">
            <v>#VALUE!</v>
          </cell>
          <cell r="D325">
            <v>1033151</v>
          </cell>
        </row>
        <row r="326">
          <cell r="A326" t="e">
            <v>#VALUE!</v>
          </cell>
          <cell r="D326">
            <v>1022809</v>
          </cell>
        </row>
        <row r="327">
          <cell r="A327" t="e">
            <v>#VALUE!</v>
          </cell>
          <cell r="D327">
            <v>1022810</v>
          </cell>
        </row>
        <row r="328">
          <cell r="A328" t="e">
            <v>#VALUE!</v>
          </cell>
          <cell r="D328">
            <v>1028652</v>
          </cell>
        </row>
        <row r="329">
          <cell r="A329" t="e">
            <v>#VALUE!</v>
          </cell>
          <cell r="D329">
            <v>1028654</v>
          </cell>
        </row>
        <row r="330">
          <cell r="A330" t="e">
            <v>#VALUE!</v>
          </cell>
          <cell r="D330">
            <v>1030195</v>
          </cell>
        </row>
        <row r="331">
          <cell r="A331" t="e">
            <v>#VALUE!</v>
          </cell>
          <cell r="D331">
            <v>1030857</v>
          </cell>
        </row>
        <row r="332">
          <cell r="A332" t="e">
            <v>#VALUE!</v>
          </cell>
          <cell r="D332">
            <v>1031715</v>
          </cell>
        </row>
        <row r="333">
          <cell r="A333" t="e">
            <v>#VALUE!</v>
          </cell>
          <cell r="D333">
            <v>1029584</v>
          </cell>
        </row>
        <row r="334">
          <cell r="A334" t="e">
            <v>#VALUE!</v>
          </cell>
          <cell r="D334">
            <v>1029585</v>
          </cell>
        </row>
        <row r="335">
          <cell r="A335" t="e">
            <v>#VALUE!</v>
          </cell>
          <cell r="D335">
            <v>1031790</v>
          </cell>
        </row>
        <row r="336">
          <cell r="A336" t="e">
            <v>#VALUE!</v>
          </cell>
          <cell r="D336">
            <v>1029593</v>
          </cell>
        </row>
        <row r="337">
          <cell r="A337" t="e">
            <v>#VALUE!</v>
          </cell>
          <cell r="D337">
            <v>1031797</v>
          </cell>
        </row>
        <row r="338">
          <cell r="A338" t="e">
            <v>#VALUE!</v>
          </cell>
          <cell r="D338">
            <v>1032651</v>
          </cell>
        </row>
        <row r="339">
          <cell r="A339" t="e">
            <v>#VALUE!</v>
          </cell>
          <cell r="D339">
            <v>1001870</v>
          </cell>
        </row>
        <row r="340">
          <cell r="A340" t="e">
            <v>#VALUE!</v>
          </cell>
          <cell r="D340">
            <v>1001907</v>
          </cell>
        </row>
        <row r="341">
          <cell r="A341" t="e">
            <v>#VALUE!</v>
          </cell>
          <cell r="D341">
            <v>1001938</v>
          </cell>
        </row>
        <row r="342">
          <cell r="A342" t="e">
            <v>#VALUE!</v>
          </cell>
          <cell r="D342">
            <v>1008399</v>
          </cell>
        </row>
        <row r="343">
          <cell r="A343" t="e">
            <v>#VALUE!</v>
          </cell>
          <cell r="D343">
            <v>1016287</v>
          </cell>
        </row>
        <row r="344">
          <cell r="A344" t="e">
            <v>#VALUE!</v>
          </cell>
          <cell r="D344">
            <v>1022258</v>
          </cell>
        </row>
        <row r="345">
          <cell r="A345" t="e">
            <v>#VALUE!</v>
          </cell>
          <cell r="D345">
            <v>1030137</v>
          </cell>
        </row>
        <row r="346">
          <cell r="A346" t="e">
            <v>#VALUE!</v>
          </cell>
          <cell r="D346">
            <v>1032323</v>
          </cell>
        </row>
        <row r="347">
          <cell r="A347" t="e">
            <v>#VALUE!</v>
          </cell>
          <cell r="D347">
            <v>1032324</v>
          </cell>
        </row>
        <row r="348">
          <cell r="A348" t="e">
            <v>#VALUE!</v>
          </cell>
          <cell r="D348">
            <v>1032326</v>
          </cell>
        </row>
        <row r="349">
          <cell r="A349" t="e">
            <v>#VALUE!</v>
          </cell>
          <cell r="D349">
            <v>1014097</v>
          </cell>
        </row>
        <row r="350">
          <cell r="A350" t="e">
            <v>#VALUE!</v>
          </cell>
          <cell r="D350">
            <v>1025169</v>
          </cell>
        </row>
        <row r="351">
          <cell r="A351" t="e">
            <v>#VALUE!</v>
          </cell>
          <cell r="D351">
            <v>1028173</v>
          </cell>
        </row>
        <row r="352">
          <cell r="A352" t="e">
            <v>#VALUE!</v>
          </cell>
          <cell r="D352">
            <v>1001931</v>
          </cell>
        </row>
        <row r="353">
          <cell r="A353" t="e">
            <v>#VALUE!</v>
          </cell>
          <cell r="D353">
            <v>1025028</v>
          </cell>
        </row>
        <row r="354">
          <cell r="A354" t="e">
            <v>#VALUE!</v>
          </cell>
          <cell r="D354">
            <v>1011400</v>
          </cell>
        </row>
        <row r="355">
          <cell r="A355" t="e">
            <v>#VALUE!</v>
          </cell>
          <cell r="D355">
            <v>1027160</v>
          </cell>
        </row>
        <row r="356">
          <cell r="A356" t="e">
            <v>#VALUE!</v>
          </cell>
          <cell r="D356">
            <v>1011401</v>
          </cell>
        </row>
        <row r="357">
          <cell r="A357" t="e">
            <v>#VALUE!</v>
          </cell>
          <cell r="D357">
            <v>1030352</v>
          </cell>
        </row>
        <row r="358">
          <cell r="A358" t="e">
            <v>#VALUE!</v>
          </cell>
          <cell r="D358">
            <v>1029595</v>
          </cell>
        </row>
        <row r="359">
          <cell r="A359" t="e">
            <v>#VALUE!</v>
          </cell>
          <cell r="D359">
            <v>1030351</v>
          </cell>
        </row>
        <row r="360">
          <cell r="A360" t="e">
            <v>#VALUE!</v>
          </cell>
          <cell r="D360">
            <v>1027139</v>
          </cell>
        </row>
        <row r="361">
          <cell r="A361" t="e">
            <v>#VALUE!</v>
          </cell>
          <cell r="D361">
            <v>1008419</v>
          </cell>
        </row>
        <row r="362">
          <cell r="A362" t="e">
            <v>#VALUE!</v>
          </cell>
          <cell r="D362">
            <v>1030349</v>
          </cell>
        </row>
        <row r="363">
          <cell r="A363" t="e">
            <v>#VALUE!</v>
          </cell>
          <cell r="D363">
            <v>1022427</v>
          </cell>
        </row>
        <row r="364">
          <cell r="A364" t="e">
            <v>#VALUE!</v>
          </cell>
          <cell r="D364">
            <v>1007722</v>
          </cell>
        </row>
        <row r="365">
          <cell r="A365" t="e">
            <v>#VALUE!</v>
          </cell>
          <cell r="D365">
            <v>1002990</v>
          </cell>
        </row>
        <row r="366">
          <cell r="A366" t="e">
            <v>#VALUE!</v>
          </cell>
          <cell r="D366">
            <v>1031842</v>
          </cell>
        </row>
        <row r="367">
          <cell r="A367" t="e">
            <v>#VALUE!</v>
          </cell>
          <cell r="D367">
            <v>1030343</v>
          </cell>
        </row>
        <row r="368">
          <cell r="A368" t="e">
            <v>#VALUE!</v>
          </cell>
          <cell r="D368">
            <v>1023997</v>
          </cell>
        </row>
        <row r="369">
          <cell r="A369" t="e">
            <v>#VALUE!</v>
          </cell>
          <cell r="D369">
            <v>1022423</v>
          </cell>
        </row>
        <row r="370">
          <cell r="A370" t="e">
            <v>#VALUE!</v>
          </cell>
          <cell r="D370">
            <v>1029441</v>
          </cell>
        </row>
        <row r="371">
          <cell r="A371" t="e">
            <v>#VALUE!</v>
          </cell>
          <cell r="D371">
            <v>1030389</v>
          </cell>
        </row>
        <row r="372">
          <cell r="A372" t="e">
            <v>#VALUE!</v>
          </cell>
          <cell r="D372">
            <v>1030387</v>
          </cell>
        </row>
        <row r="373">
          <cell r="A373" t="e">
            <v>#VALUE!</v>
          </cell>
          <cell r="D373">
            <v>1030703</v>
          </cell>
        </row>
        <row r="374">
          <cell r="A374" t="e">
            <v>#VALUE!</v>
          </cell>
          <cell r="D374">
            <v>1030508</v>
          </cell>
        </row>
        <row r="375">
          <cell r="A375" t="e">
            <v>#VALUE!</v>
          </cell>
          <cell r="D375">
            <v>1032033</v>
          </cell>
        </row>
        <row r="376">
          <cell r="A376" t="e">
            <v>#VALUE!</v>
          </cell>
          <cell r="D376">
            <v>1032287</v>
          </cell>
        </row>
        <row r="377">
          <cell r="A377" t="e">
            <v>#VALUE!</v>
          </cell>
          <cell r="D377">
            <v>1032217</v>
          </cell>
        </row>
        <row r="378">
          <cell r="A378" t="e">
            <v>#VALUE!</v>
          </cell>
          <cell r="D378">
            <v>1031164</v>
          </cell>
        </row>
        <row r="379">
          <cell r="A379" t="e">
            <v>#VALUE!</v>
          </cell>
          <cell r="D379">
            <v>1031163</v>
          </cell>
        </row>
        <row r="380">
          <cell r="A380" t="e">
            <v>#VALUE!</v>
          </cell>
          <cell r="D380">
            <v>1029584</v>
          </cell>
        </row>
        <row r="381">
          <cell r="A381" t="e">
            <v>#VALUE!</v>
          </cell>
          <cell r="D381">
            <v>1030511</v>
          </cell>
        </row>
        <row r="382">
          <cell r="A382" t="e">
            <v>#VALUE!</v>
          </cell>
          <cell r="D382">
            <v>1031126</v>
          </cell>
        </row>
        <row r="383">
          <cell r="A383" t="e">
            <v>#VALUE!</v>
          </cell>
          <cell r="D383">
            <v>1031129</v>
          </cell>
        </row>
        <row r="384">
          <cell r="A384" t="e">
            <v>#VALUE!</v>
          </cell>
          <cell r="D384">
            <v>1030399</v>
          </cell>
        </row>
        <row r="385">
          <cell r="A385" t="e">
            <v>#VALUE!</v>
          </cell>
          <cell r="D385">
            <v>1031802</v>
          </cell>
        </row>
        <row r="386">
          <cell r="A386" t="e">
            <v>#VALUE!</v>
          </cell>
          <cell r="D386">
            <v>1031798</v>
          </cell>
        </row>
        <row r="387">
          <cell r="A387" t="e">
            <v>#VALUE!</v>
          </cell>
          <cell r="D387">
            <v>1031804</v>
          </cell>
        </row>
        <row r="388">
          <cell r="A388" t="e">
            <v>#VALUE!</v>
          </cell>
          <cell r="D388">
            <v>1028657</v>
          </cell>
        </row>
        <row r="389">
          <cell r="A389" t="e">
            <v>#VALUE!</v>
          </cell>
          <cell r="D389">
            <v>1030195</v>
          </cell>
        </row>
        <row r="390">
          <cell r="A390" t="e">
            <v>#VALUE!</v>
          </cell>
          <cell r="D390">
            <v>1030611</v>
          </cell>
        </row>
        <row r="391">
          <cell r="A391" t="e">
            <v>#VALUE!</v>
          </cell>
          <cell r="D391">
            <v>1030857</v>
          </cell>
        </row>
        <row r="392">
          <cell r="A392" t="e">
            <v>#VALUE!</v>
          </cell>
          <cell r="D392">
            <v>1022814</v>
          </cell>
        </row>
        <row r="393">
          <cell r="A393" t="e">
            <v>#VALUE!</v>
          </cell>
          <cell r="D393">
            <v>1028654</v>
          </cell>
        </row>
        <row r="394">
          <cell r="A394" t="e">
            <v>#VALUE!</v>
          </cell>
          <cell r="D394">
            <v>1030722</v>
          </cell>
        </row>
        <row r="395">
          <cell r="A395" t="e">
            <v>#VALUE!</v>
          </cell>
          <cell r="D395">
            <v>1030678</v>
          </cell>
        </row>
        <row r="396">
          <cell r="A396" t="e">
            <v>#VALUE!</v>
          </cell>
          <cell r="D396">
            <v>1029802</v>
          </cell>
        </row>
        <row r="397">
          <cell r="A397" t="e">
            <v>#VALUE!</v>
          </cell>
          <cell r="D397">
            <v>1030777</v>
          </cell>
        </row>
        <row r="398">
          <cell r="A398" t="e">
            <v>#VALUE!</v>
          </cell>
          <cell r="D398">
            <v>1022810</v>
          </cell>
        </row>
        <row r="399">
          <cell r="A399" t="e">
            <v>#VALUE!</v>
          </cell>
          <cell r="D399">
            <v>1032297</v>
          </cell>
        </row>
        <row r="400">
          <cell r="A400" t="e">
            <v>#VALUE!</v>
          </cell>
          <cell r="D400">
            <v>1032298</v>
          </cell>
        </row>
        <row r="401">
          <cell r="A401" t="e">
            <v>#VALUE!</v>
          </cell>
          <cell r="D401">
            <v>1030723</v>
          </cell>
        </row>
        <row r="402">
          <cell r="A402" t="e">
            <v>#VALUE!</v>
          </cell>
          <cell r="D402">
            <v>1031745</v>
          </cell>
        </row>
        <row r="403">
          <cell r="A403" t="e">
            <v>#VALUE!</v>
          </cell>
          <cell r="D403">
            <v>1029593</v>
          </cell>
        </row>
        <row r="404">
          <cell r="A404" t="e">
            <v>#VALUE!</v>
          </cell>
          <cell r="D404">
            <v>1030679</v>
          </cell>
        </row>
        <row r="405">
          <cell r="A405" t="e">
            <v>#VALUE!</v>
          </cell>
          <cell r="D405">
            <v>1031741</v>
          </cell>
        </row>
        <row r="406">
          <cell r="A406" t="e">
            <v>#VALUE!</v>
          </cell>
          <cell r="D406">
            <v>1030861</v>
          </cell>
        </row>
        <row r="407">
          <cell r="A407" t="e">
            <v>#VALUE!</v>
          </cell>
          <cell r="D407">
            <v>1031126</v>
          </cell>
        </row>
        <row r="408">
          <cell r="A408" t="e">
            <v>#VALUE!</v>
          </cell>
          <cell r="D408">
            <v>1031794</v>
          </cell>
        </row>
        <row r="409">
          <cell r="A409" t="e">
            <v>#VALUE!</v>
          </cell>
          <cell r="D409">
            <v>1001942</v>
          </cell>
        </row>
        <row r="410">
          <cell r="A410" t="e">
            <v>#VALUE!</v>
          </cell>
          <cell r="D410">
            <v>1031747</v>
          </cell>
        </row>
        <row r="411">
          <cell r="A411" t="e">
            <v>#VALUE!</v>
          </cell>
          <cell r="D411">
            <v>1003480</v>
          </cell>
        </row>
        <row r="412">
          <cell r="A412" t="e">
            <v>#VALUE!</v>
          </cell>
          <cell r="D412">
            <v>1028993</v>
          </cell>
        </row>
        <row r="413">
          <cell r="A413" t="e">
            <v>#VALUE!</v>
          </cell>
          <cell r="D413">
            <v>1032114</v>
          </cell>
        </row>
        <row r="414">
          <cell r="A414" t="e">
            <v>#VALUE!</v>
          </cell>
          <cell r="D414">
            <v>1030343</v>
          </cell>
        </row>
        <row r="415">
          <cell r="A415" t="e">
            <v>#VALUE!</v>
          </cell>
          <cell r="D415">
            <v>1030349</v>
          </cell>
        </row>
        <row r="416">
          <cell r="A416" t="e">
            <v>#VALUE!</v>
          </cell>
          <cell r="D416">
            <v>1032117</v>
          </cell>
        </row>
        <row r="417">
          <cell r="A417" t="e">
            <v>#VALUE!</v>
          </cell>
          <cell r="D417">
            <v>1032116</v>
          </cell>
        </row>
        <row r="418">
          <cell r="A418" t="e">
            <v>#VALUE!</v>
          </cell>
          <cell r="D418">
            <v>1028959</v>
          </cell>
        </row>
        <row r="419">
          <cell r="A419" t="e">
            <v>#VALUE!</v>
          </cell>
          <cell r="D419">
            <v>1028992</v>
          </cell>
        </row>
        <row r="420">
          <cell r="A420" t="e">
            <v>#VALUE!</v>
          </cell>
          <cell r="D420">
            <v>1032115</v>
          </cell>
        </row>
        <row r="421">
          <cell r="A421" t="e">
            <v>#VALUE!</v>
          </cell>
          <cell r="D421">
            <v>1031739</v>
          </cell>
        </row>
        <row r="422">
          <cell r="A422" t="e">
            <v>#VALUE!</v>
          </cell>
          <cell r="D422">
            <v>1031688</v>
          </cell>
        </row>
        <row r="423">
          <cell r="A423" t="e">
            <v>#VALUE!</v>
          </cell>
          <cell r="D423">
            <v>1031129</v>
          </cell>
        </row>
        <row r="424">
          <cell r="A424" t="e">
            <v>#VALUE!</v>
          </cell>
          <cell r="D424">
            <v>1031691</v>
          </cell>
        </row>
        <row r="425">
          <cell r="D425" t="str">
            <v>TOTAL GENERAL</v>
          </cell>
        </row>
      </sheetData>
      <sheetData sheetId="7"/>
      <sheetData sheetId="8">
        <row r="2">
          <cell r="B2" t="str">
            <v>15 DIAS</v>
          </cell>
          <cell r="E2" t="str">
            <v>1001942</v>
          </cell>
        </row>
        <row r="3">
          <cell r="B3" t="str">
            <v>15 DIAS</v>
          </cell>
          <cell r="E3" t="str">
            <v>1003480</v>
          </cell>
        </row>
        <row r="4">
          <cell r="B4" t="str">
            <v>15 DIAS</v>
          </cell>
          <cell r="E4" t="str">
            <v>1028959</v>
          </cell>
        </row>
        <row r="5">
          <cell r="B5" t="str">
            <v>15 DIAS</v>
          </cell>
          <cell r="E5" t="str">
            <v>1028992</v>
          </cell>
        </row>
        <row r="6">
          <cell r="B6" t="str">
            <v>15 DIAS</v>
          </cell>
          <cell r="E6" t="str">
            <v>1028993</v>
          </cell>
        </row>
        <row r="7">
          <cell r="B7" t="str">
            <v>15 DIAS</v>
          </cell>
          <cell r="E7" t="str">
            <v>1030343</v>
          </cell>
        </row>
        <row r="8">
          <cell r="B8" t="str">
            <v>15 DIAS</v>
          </cell>
          <cell r="E8" t="str">
            <v>1030349</v>
          </cell>
        </row>
        <row r="9">
          <cell r="B9" t="str">
            <v>15 DIAS</v>
          </cell>
          <cell r="E9" t="str">
            <v>1030861</v>
          </cell>
        </row>
        <row r="10">
          <cell r="B10" t="str">
            <v>15 DIAS</v>
          </cell>
          <cell r="E10" t="str">
            <v>1031126</v>
          </cell>
        </row>
        <row r="11">
          <cell r="B11" t="str">
            <v>15 DIAS</v>
          </cell>
          <cell r="E11" t="str">
            <v>1031129</v>
          </cell>
        </row>
        <row r="12">
          <cell r="B12" t="str">
            <v>15 DIAS</v>
          </cell>
          <cell r="E12" t="str">
            <v>1031688</v>
          </cell>
        </row>
        <row r="13">
          <cell r="B13" t="str">
            <v>15 DIAS</v>
          </cell>
          <cell r="E13" t="str">
            <v>1031691</v>
          </cell>
        </row>
        <row r="14">
          <cell r="B14" t="str">
            <v>15 DIAS</v>
          </cell>
          <cell r="E14" t="str">
            <v>1031739</v>
          </cell>
        </row>
        <row r="15">
          <cell r="B15" t="str">
            <v>15 DIAS</v>
          </cell>
          <cell r="E15" t="str">
            <v>1031741</v>
          </cell>
        </row>
        <row r="16">
          <cell r="B16" t="str">
            <v>15 DIAS</v>
          </cell>
          <cell r="E16" t="str">
            <v>1031747</v>
          </cell>
        </row>
        <row r="17">
          <cell r="B17" t="str">
            <v>15 DIAS</v>
          </cell>
          <cell r="E17" t="str">
            <v>1031794</v>
          </cell>
        </row>
        <row r="18">
          <cell r="B18" t="str">
            <v>15 DIAS</v>
          </cell>
          <cell r="E18" t="str">
            <v>1032114</v>
          </cell>
        </row>
        <row r="19">
          <cell r="B19" t="str">
            <v>15 DIAS</v>
          </cell>
          <cell r="E19" t="str">
            <v>1032115</v>
          </cell>
        </row>
        <row r="20">
          <cell r="B20" t="str">
            <v>15 DIAS</v>
          </cell>
          <cell r="E20" t="str">
            <v>1032116</v>
          </cell>
        </row>
        <row r="21">
          <cell r="B21" t="str">
            <v>15 DIAS</v>
          </cell>
          <cell r="E21" t="str">
            <v>1032117</v>
          </cell>
        </row>
        <row r="22">
          <cell r="B22" t="str">
            <v>60 DIAS</v>
          </cell>
          <cell r="E22" t="str">
            <v>1028657</v>
          </cell>
        </row>
        <row r="23">
          <cell r="B23" t="str">
            <v>60 DIAS</v>
          </cell>
          <cell r="E23" t="str">
            <v>1028661</v>
          </cell>
        </row>
        <row r="24">
          <cell r="B24" t="str">
            <v>60 DIAS</v>
          </cell>
          <cell r="E24" t="str">
            <v>1030678</v>
          </cell>
        </row>
        <row r="25">
          <cell r="B25" t="str">
            <v>60 DIAS</v>
          </cell>
          <cell r="E25" t="str">
            <v>1030679</v>
          </cell>
        </row>
        <row r="26">
          <cell r="B26" t="str">
            <v>60 DIAS</v>
          </cell>
          <cell r="E26" t="str">
            <v>1031750</v>
          </cell>
        </row>
        <row r="27">
          <cell r="B27" t="str">
            <v>60 DIAS</v>
          </cell>
          <cell r="E27" t="str">
            <v>1030557</v>
          </cell>
        </row>
        <row r="28">
          <cell r="B28" t="str">
            <v>60 DIAS</v>
          </cell>
          <cell r="E28" t="str">
            <v>1031868</v>
          </cell>
        </row>
        <row r="29">
          <cell r="B29" t="str">
            <v>60 DIAS</v>
          </cell>
          <cell r="E29" t="str">
            <v>1029595</v>
          </cell>
        </row>
        <row r="30">
          <cell r="B30" t="str">
            <v>60 DIAS</v>
          </cell>
          <cell r="E30" t="str">
            <v>1032653</v>
          </cell>
        </row>
        <row r="31">
          <cell r="B31" t="str">
            <v>60 DIAS</v>
          </cell>
          <cell r="E31" t="str">
            <v>1032654</v>
          </cell>
        </row>
        <row r="32">
          <cell r="B32" t="str">
            <v>60 DIAS</v>
          </cell>
          <cell r="E32" t="str">
            <v>1032655</v>
          </cell>
        </row>
        <row r="33">
          <cell r="B33" t="str">
            <v>60 DIAS</v>
          </cell>
          <cell r="E33" t="str">
            <v>1026245</v>
          </cell>
        </row>
        <row r="34">
          <cell r="B34" t="str">
            <v>60 DIAS</v>
          </cell>
          <cell r="E34" t="str">
            <v>1032335</v>
          </cell>
        </row>
        <row r="35">
          <cell r="B35" t="str">
            <v>60 DIAS</v>
          </cell>
          <cell r="E35" t="str">
            <v>1032350</v>
          </cell>
        </row>
        <row r="36">
          <cell r="B36" t="str">
            <v>60 DIAS</v>
          </cell>
          <cell r="E36" t="str">
            <v>1008783</v>
          </cell>
        </row>
        <row r="37">
          <cell r="B37" t="str">
            <v>60 DIAS</v>
          </cell>
          <cell r="E37" t="str">
            <v>1016729</v>
          </cell>
        </row>
        <row r="38">
          <cell r="B38" t="str">
            <v>60 DIAS</v>
          </cell>
          <cell r="E38" t="str">
            <v>1026263</v>
          </cell>
        </row>
        <row r="39">
          <cell r="B39" t="str">
            <v>60 DIAS</v>
          </cell>
          <cell r="E39" t="str">
            <v>1027373</v>
          </cell>
        </row>
        <row r="40">
          <cell r="B40" t="str">
            <v>60 DIAS</v>
          </cell>
          <cell r="E40" t="str">
            <v>1014099</v>
          </cell>
        </row>
        <row r="41">
          <cell r="B41" t="str">
            <v>60 DIAS</v>
          </cell>
          <cell r="E41" t="str">
            <v>1027445</v>
          </cell>
        </row>
        <row r="42">
          <cell r="B42" t="str">
            <v>60 DIAS</v>
          </cell>
          <cell r="E42" t="str">
            <v>1033151</v>
          </cell>
        </row>
        <row r="43">
          <cell r="B43" t="str">
            <v>60 DIAS</v>
          </cell>
          <cell r="E43" t="str">
            <v>1022809</v>
          </cell>
        </row>
        <row r="44">
          <cell r="B44" t="str">
            <v>60 DIAS</v>
          </cell>
          <cell r="E44" t="str">
            <v>1022810</v>
          </cell>
        </row>
        <row r="45">
          <cell r="B45" t="str">
            <v>60 DIAS</v>
          </cell>
          <cell r="E45" t="str">
            <v>1028652</v>
          </cell>
        </row>
        <row r="46">
          <cell r="B46" t="str">
            <v>60 DIAS</v>
          </cell>
          <cell r="E46" t="str">
            <v>1028654</v>
          </cell>
        </row>
        <row r="47">
          <cell r="B47" t="str">
            <v>60 DIAS</v>
          </cell>
          <cell r="E47" t="str">
            <v>1030195</v>
          </cell>
        </row>
        <row r="48">
          <cell r="B48" t="str">
            <v>60 DIAS</v>
          </cell>
          <cell r="E48" t="str">
            <v>1030857</v>
          </cell>
        </row>
        <row r="49">
          <cell r="B49" t="str">
            <v>60 DIAS</v>
          </cell>
          <cell r="E49" t="str">
            <v>1031715</v>
          </cell>
        </row>
        <row r="50">
          <cell r="B50" t="str">
            <v>60 DIAS</v>
          </cell>
          <cell r="E50" t="str">
            <v>1029584</v>
          </cell>
        </row>
        <row r="51">
          <cell r="B51" t="str">
            <v>60 DIAS</v>
          </cell>
          <cell r="E51" t="str">
            <v>1029585</v>
          </cell>
        </row>
        <row r="52">
          <cell r="B52" t="str">
            <v>60 DIAS</v>
          </cell>
          <cell r="E52" t="str">
            <v>1031790</v>
          </cell>
        </row>
        <row r="53">
          <cell r="B53" t="str">
            <v>60 DIAS</v>
          </cell>
          <cell r="E53" t="str">
            <v>1029593</v>
          </cell>
        </row>
        <row r="54">
          <cell r="B54" t="str">
            <v>60 DIAS</v>
          </cell>
          <cell r="E54" t="str">
            <v>1031797</v>
          </cell>
        </row>
        <row r="55">
          <cell r="B55" t="str">
            <v>60 DIAS</v>
          </cell>
          <cell r="E55" t="str">
            <v>1032651</v>
          </cell>
        </row>
        <row r="56">
          <cell r="B56" t="str">
            <v>60 DIAS</v>
          </cell>
          <cell r="E56" t="str">
            <v>1001870</v>
          </cell>
        </row>
        <row r="57">
          <cell r="B57" t="str">
            <v>60 DIAS</v>
          </cell>
          <cell r="E57" t="str">
            <v>1001907</v>
          </cell>
        </row>
        <row r="58">
          <cell r="B58" t="str">
            <v>60 DIAS</v>
          </cell>
          <cell r="E58" t="str">
            <v>1001938</v>
          </cell>
        </row>
        <row r="59">
          <cell r="B59" t="str">
            <v>60 DIAS</v>
          </cell>
          <cell r="E59" t="str">
            <v>1008399</v>
          </cell>
        </row>
        <row r="60">
          <cell r="B60" t="str">
            <v>60 DIAS</v>
          </cell>
          <cell r="E60" t="str">
            <v>1016287</v>
          </cell>
        </row>
        <row r="61">
          <cell r="B61" t="str">
            <v>60 DIAS</v>
          </cell>
          <cell r="E61" t="str">
            <v>1022258</v>
          </cell>
        </row>
        <row r="62">
          <cell r="B62" t="str">
            <v>60 DIAS</v>
          </cell>
          <cell r="E62" t="str">
            <v>1030137</v>
          </cell>
        </row>
        <row r="63">
          <cell r="B63" t="str">
            <v>60 DIAS</v>
          </cell>
          <cell r="E63" t="str">
            <v>1032323</v>
          </cell>
        </row>
        <row r="64">
          <cell r="B64" t="str">
            <v>60 DIAS</v>
          </cell>
          <cell r="E64" t="str">
            <v>1032324</v>
          </cell>
        </row>
        <row r="65">
          <cell r="B65" t="str">
            <v>60 DIAS</v>
          </cell>
          <cell r="E65" t="str">
            <v>1032326</v>
          </cell>
        </row>
        <row r="66">
          <cell r="B66" t="str">
            <v>60 DIAS</v>
          </cell>
          <cell r="E66" t="str">
            <v>1014097</v>
          </cell>
        </row>
        <row r="67">
          <cell r="B67" t="str">
            <v>60 DIAS</v>
          </cell>
          <cell r="E67" t="str">
            <v>1025169</v>
          </cell>
        </row>
        <row r="68">
          <cell r="B68" t="str">
            <v>60 DIAS</v>
          </cell>
          <cell r="E68" t="str">
            <v>1028173</v>
          </cell>
        </row>
        <row r="69">
          <cell r="B69" t="str">
            <v>90 DIAS</v>
          </cell>
          <cell r="E69" t="str">
            <v>1001931</v>
          </cell>
        </row>
        <row r="70">
          <cell r="B70" t="str">
            <v>90 DIAS</v>
          </cell>
          <cell r="E70" t="str">
            <v>1025028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9C1AA-9412-4AD1-85E5-75BF0064B8C4}">
  <dimension ref="A1:AF428"/>
  <sheetViews>
    <sheetView tabSelected="1" zoomScale="85" zoomScaleNormal="85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AE161" sqref="AE161"/>
    </sheetView>
  </sheetViews>
  <sheetFormatPr baseColWidth="10" defaultColWidth="8.5703125" defaultRowHeight="15" x14ac:dyDescent="0.25"/>
  <cols>
    <col min="1" max="1" width="10" customWidth="1"/>
    <col min="2" max="2" width="16" customWidth="1"/>
    <col min="3" max="3" width="11" customWidth="1"/>
    <col min="4" max="4" width="10" customWidth="1"/>
    <col min="5" max="5" width="22" customWidth="1"/>
    <col min="6" max="6" width="9" customWidth="1"/>
    <col min="7" max="7" width="26" customWidth="1"/>
    <col min="8" max="8" width="20" customWidth="1"/>
    <col min="9" max="9" width="11" customWidth="1"/>
    <col min="10" max="10" width="9" customWidth="1"/>
    <col min="11" max="29" width="4.85546875" customWidth="1"/>
    <col min="30" max="30" width="6" customWidth="1"/>
    <col min="31" max="31" width="7" customWidth="1"/>
    <col min="32" max="32" width="7.140625" customWidth="1"/>
  </cols>
  <sheetData>
    <row r="1" spans="1:32" ht="4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5" customHeight="1" x14ac:dyDescent="0.25">
      <c r="A2" t="str">
        <f>IFERROR(_xlfn.XLOOKUP(--F2,[1]imagenes!$D:$D,[1]imagenes!$A:$A),"")</f>
        <v/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3">
        <v>56.5</v>
      </c>
      <c r="J2" s="4">
        <v>185</v>
      </c>
      <c r="U2" s="5">
        <v>30</v>
      </c>
      <c r="V2" s="5">
        <v>29</v>
      </c>
      <c r="W2" s="5">
        <v>46</v>
      </c>
      <c r="X2" s="5">
        <v>12</v>
      </c>
      <c r="Y2" s="5">
        <v>50</v>
      </c>
      <c r="Z2" s="5">
        <v>48</v>
      </c>
      <c r="AA2" s="5">
        <v>50</v>
      </c>
      <c r="AB2" s="5">
        <v>50</v>
      </c>
      <c r="AC2" s="5">
        <v>50</v>
      </c>
      <c r="AD2" s="5">
        <v>38</v>
      </c>
      <c r="AE2" s="6">
        <v>20</v>
      </c>
      <c r="AF2" s="7">
        <f t="shared" ref="AF2:AF65" si="0">SUM(K2:AD2)</f>
        <v>403</v>
      </c>
    </row>
    <row r="3" spans="1:32" ht="15" customHeight="1" x14ac:dyDescent="0.25">
      <c r="A3" t="str">
        <f>IFERROR(_xlfn.XLOOKUP(--F3,[1]imagenes!$D:$D,[1]imagenes!$A:$A),"")</f>
        <v/>
      </c>
      <c r="B3" s="2" t="s">
        <v>32</v>
      </c>
      <c r="C3" s="2" t="s">
        <v>33</v>
      </c>
      <c r="D3" s="2" t="s">
        <v>34</v>
      </c>
      <c r="E3" s="2" t="s">
        <v>39</v>
      </c>
      <c r="F3" s="2" t="s">
        <v>40</v>
      </c>
      <c r="G3" s="2" t="s">
        <v>41</v>
      </c>
      <c r="H3" s="2" t="s">
        <v>42</v>
      </c>
      <c r="I3" s="3">
        <v>30.5</v>
      </c>
      <c r="J3" s="4">
        <v>115</v>
      </c>
      <c r="T3" s="5">
        <v>7</v>
      </c>
      <c r="U3" s="5">
        <v>21</v>
      </c>
      <c r="V3" s="5">
        <v>27</v>
      </c>
      <c r="W3" s="5">
        <v>50</v>
      </c>
      <c r="X3" s="5">
        <v>37</v>
      </c>
      <c r="Y3" s="5">
        <v>38</v>
      </c>
      <c r="Z3" s="5">
        <v>46</v>
      </c>
      <c r="AA3" s="5">
        <v>50</v>
      </c>
      <c r="AB3" s="5">
        <v>27</v>
      </c>
      <c r="AC3" s="5">
        <v>34</v>
      </c>
      <c r="AD3" s="5">
        <v>41</v>
      </c>
      <c r="AE3" s="6">
        <v>37</v>
      </c>
      <c r="AF3" s="7">
        <f t="shared" si="0"/>
        <v>378</v>
      </c>
    </row>
    <row r="4" spans="1:32" ht="15" customHeight="1" x14ac:dyDescent="0.25">
      <c r="A4" t="str">
        <f>IFERROR(_xlfn.XLOOKUP(--F4,[1]imagenes!$D:$D,[1]imagenes!$A:$A),"")</f>
        <v/>
      </c>
      <c r="B4" s="2" t="s">
        <v>32</v>
      </c>
      <c r="C4" s="2" t="s">
        <v>33</v>
      </c>
      <c r="D4" s="2" t="s">
        <v>34</v>
      </c>
      <c r="E4" s="2" t="s">
        <v>39</v>
      </c>
      <c r="F4" s="2" t="s">
        <v>43</v>
      </c>
      <c r="G4" s="2" t="s">
        <v>44</v>
      </c>
      <c r="H4" s="2" t="s">
        <v>45</v>
      </c>
      <c r="I4" s="3">
        <v>30.5</v>
      </c>
      <c r="J4" s="4">
        <v>115</v>
      </c>
      <c r="U4" s="5">
        <v>7</v>
      </c>
      <c r="V4" s="5">
        <v>19</v>
      </c>
      <c r="W4" s="5">
        <v>25</v>
      </c>
      <c r="X4" s="5">
        <v>25</v>
      </c>
      <c r="Y4" s="5">
        <v>25</v>
      </c>
      <c r="Z4" s="5">
        <v>28</v>
      </c>
      <c r="AA4" s="5">
        <v>31</v>
      </c>
      <c r="AB4" s="5">
        <v>23</v>
      </c>
      <c r="AC4" s="5">
        <v>33</v>
      </c>
      <c r="AD4" s="5">
        <v>30</v>
      </c>
      <c r="AE4" s="6">
        <v>24</v>
      </c>
      <c r="AF4" s="7">
        <f t="shared" si="0"/>
        <v>246</v>
      </c>
    </row>
    <row r="5" spans="1:32" ht="15" customHeight="1" x14ac:dyDescent="0.25">
      <c r="A5" t="str">
        <f>IFERROR(_xlfn.XLOOKUP(--F5,[1]imagenes!$D:$D,[1]imagenes!$A:$A),"")</f>
        <v/>
      </c>
      <c r="B5" s="2" t="s">
        <v>32</v>
      </c>
      <c r="C5" s="2" t="s">
        <v>33</v>
      </c>
      <c r="D5" s="2" t="s">
        <v>34</v>
      </c>
      <c r="E5" s="2" t="s">
        <v>46</v>
      </c>
      <c r="F5" s="2" t="s">
        <v>47</v>
      </c>
      <c r="G5" s="2" t="s">
        <v>48</v>
      </c>
      <c r="H5" s="2" t="s">
        <v>49</v>
      </c>
      <c r="I5" s="3">
        <v>27.5</v>
      </c>
      <c r="J5" s="4">
        <v>110</v>
      </c>
      <c r="T5" s="5">
        <v>7</v>
      </c>
      <c r="U5" s="5">
        <v>33</v>
      </c>
      <c r="V5" s="5">
        <v>31</v>
      </c>
      <c r="W5" s="5">
        <v>33</v>
      </c>
      <c r="X5" s="5">
        <v>32</v>
      </c>
      <c r="Y5" s="5">
        <v>23</v>
      </c>
      <c r="Z5" s="5">
        <v>14</v>
      </c>
      <c r="AA5" s="5">
        <v>50</v>
      </c>
      <c r="AC5" s="5">
        <v>23</v>
      </c>
      <c r="AD5" s="5">
        <v>42</v>
      </c>
      <c r="AE5" s="6">
        <v>9</v>
      </c>
      <c r="AF5" s="7">
        <f t="shared" si="0"/>
        <v>288</v>
      </c>
    </row>
    <row r="6" spans="1:32" ht="15" customHeight="1" x14ac:dyDescent="0.25">
      <c r="A6" t="str">
        <f>IFERROR(_xlfn.XLOOKUP(--F6,[1]imagenes!$D:$D,[1]imagenes!$A:$A),"")</f>
        <v/>
      </c>
      <c r="B6" s="2" t="s">
        <v>32</v>
      </c>
      <c r="C6" s="2" t="s">
        <v>33</v>
      </c>
      <c r="D6" s="2" t="s">
        <v>34</v>
      </c>
      <c r="E6" s="2" t="s">
        <v>46</v>
      </c>
      <c r="F6" s="2" t="s">
        <v>50</v>
      </c>
      <c r="G6" s="2" t="s">
        <v>51</v>
      </c>
      <c r="H6" s="2" t="s">
        <v>52</v>
      </c>
      <c r="I6" s="3">
        <v>27.5</v>
      </c>
      <c r="J6" s="4">
        <v>110</v>
      </c>
      <c r="T6" s="5">
        <v>8</v>
      </c>
      <c r="U6" s="5">
        <v>16</v>
      </c>
      <c r="V6" s="5">
        <v>13</v>
      </c>
      <c r="W6" s="5">
        <v>30</v>
      </c>
      <c r="X6" s="5">
        <v>29</v>
      </c>
      <c r="Y6" s="5">
        <v>27</v>
      </c>
      <c r="Z6" s="5">
        <v>17</v>
      </c>
      <c r="AA6" s="5">
        <v>29</v>
      </c>
      <c r="AB6" s="5">
        <v>24</v>
      </c>
      <c r="AC6" s="5">
        <v>29</v>
      </c>
      <c r="AD6" s="5">
        <v>27</v>
      </c>
      <c r="AF6" s="7">
        <f t="shared" si="0"/>
        <v>249</v>
      </c>
    </row>
    <row r="7" spans="1:32" ht="15" customHeight="1" x14ac:dyDescent="0.25">
      <c r="A7" t="str">
        <f>IFERROR(_xlfn.XLOOKUP(--F7,[1]imagenes!$D:$D,[1]imagenes!$A:$A),"")</f>
        <v/>
      </c>
      <c r="B7" s="2" t="s">
        <v>32</v>
      </c>
      <c r="C7" s="2" t="s">
        <v>33</v>
      </c>
      <c r="D7" s="2" t="s">
        <v>34</v>
      </c>
      <c r="E7" s="2" t="s">
        <v>46</v>
      </c>
      <c r="F7" s="2" t="s">
        <v>53</v>
      </c>
      <c r="G7" s="2" t="s">
        <v>54</v>
      </c>
      <c r="H7" s="2" t="s">
        <v>55</v>
      </c>
      <c r="I7" s="3">
        <v>27.5</v>
      </c>
      <c r="J7" s="4">
        <v>110</v>
      </c>
      <c r="T7" s="5">
        <v>11</v>
      </c>
      <c r="U7" s="5">
        <v>27</v>
      </c>
      <c r="V7" s="5">
        <v>32</v>
      </c>
      <c r="W7" s="5">
        <v>49</v>
      </c>
      <c r="X7" s="5">
        <v>48</v>
      </c>
      <c r="Y7" s="5">
        <v>50</v>
      </c>
      <c r="Z7" s="5">
        <v>50</v>
      </c>
      <c r="AA7" s="5">
        <v>50</v>
      </c>
      <c r="AB7" s="5">
        <v>40</v>
      </c>
      <c r="AC7" s="5">
        <v>50</v>
      </c>
      <c r="AD7" s="5">
        <v>43</v>
      </c>
      <c r="AE7" s="6">
        <v>36</v>
      </c>
      <c r="AF7" s="7">
        <f t="shared" si="0"/>
        <v>450</v>
      </c>
    </row>
    <row r="8" spans="1:32" ht="15" customHeight="1" x14ac:dyDescent="0.25">
      <c r="A8" t="str">
        <f>IFERROR(_xlfn.XLOOKUP(--F8,[1]imagenes!$D:$D,[1]imagenes!$A:$A),"")</f>
        <v/>
      </c>
      <c r="B8" s="2" t="s">
        <v>32</v>
      </c>
      <c r="C8" s="2" t="s">
        <v>33</v>
      </c>
      <c r="D8" s="2" t="s">
        <v>34</v>
      </c>
      <c r="E8" s="2" t="s">
        <v>46</v>
      </c>
      <c r="F8" s="2" t="s">
        <v>56</v>
      </c>
      <c r="G8" s="2" t="s">
        <v>57</v>
      </c>
      <c r="H8" s="2" t="s">
        <v>58</v>
      </c>
      <c r="I8" s="3">
        <v>27.5</v>
      </c>
      <c r="J8" s="4">
        <v>110</v>
      </c>
      <c r="U8" s="5">
        <v>16</v>
      </c>
      <c r="V8" s="5">
        <v>20</v>
      </c>
      <c r="W8" s="5">
        <v>33</v>
      </c>
      <c r="X8" s="5">
        <v>30</v>
      </c>
      <c r="Y8" s="5">
        <v>38</v>
      </c>
      <c r="Z8" s="5">
        <v>31</v>
      </c>
      <c r="AA8" s="5">
        <v>50</v>
      </c>
      <c r="AB8" s="5">
        <v>24</v>
      </c>
      <c r="AC8" s="5">
        <v>28</v>
      </c>
      <c r="AD8" s="5">
        <v>33</v>
      </c>
      <c r="AE8" s="6">
        <v>14</v>
      </c>
      <c r="AF8" s="7">
        <f t="shared" si="0"/>
        <v>303</v>
      </c>
    </row>
    <row r="9" spans="1:32" ht="15" customHeight="1" x14ac:dyDescent="0.25">
      <c r="A9" t="str">
        <f>IFERROR(_xlfn.XLOOKUP(--F9,[1]imagenes!$D:$D,[1]imagenes!$A:$A),"")</f>
        <v/>
      </c>
      <c r="B9" s="2" t="s">
        <v>32</v>
      </c>
      <c r="C9" s="2" t="s">
        <v>33</v>
      </c>
      <c r="D9" s="2" t="s">
        <v>34</v>
      </c>
      <c r="E9" s="2" t="s">
        <v>59</v>
      </c>
      <c r="F9" s="2" t="s">
        <v>60</v>
      </c>
      <c r="G9" s="2" t="s">
        <v>61</v>
      </c>
      <c r="H9" s="2" t="s">
        <v>62</v>
      </c>
      <c r="I9" s="3">
        <v>35.5</v>
      </c>
      <c r="J9" s="4">
        <v>140</v>
      </c>
      <c r="U9" s="5">
        <v>7</v>
      </c>
      <c r="V9" s="5">
        <v>11</v>
      </c>
      <c r="W9" s="5">
        <v>26</v>
      </c>
      <c r="X9" s="5">
        <v>19</v>
      </c>
      <c r="Y9" s="5">
        <v>28</v>
      </c>
      <c r="Z9" s="5">
        <v>29</v>
      </c>
      <c r="AA9" s="5">
        <v>21</v>
      </c>
      <c r="AB9" s="5">
        <v>17</v>
      </c>
      <c r="AC9" s="5">
        <v>30</v>
      </c>
      <c r="AD9" s="5">
        <v>35</v>
      </c>
      <c r="AE9" s="6">
        <v>50</v>
      </c>
      <c r="AF9" s="7">
        <f t="shared" si="0"/>
        <v>223</v>
      </c>
    </row>
    <row r="10" spans="1:32" ht="15" customHeight="1" x14ac:dyDescent="0.25">
      <c r="A10" t="str">
        <f>IFERROR(_xlfn.XLOOKUP(--F10,[1]imagenes!$D:$D,[1]imagenes!$A:$A),"")</f>
        <v/>
      </c>
      <c r="B10" s="2" t="s">
        <v>32</v>
      </c>
      <c r="C10" s="2" t="s">
        <v>33</v>
      </c>
      <c r="D10" s="2" t="s">
        <v>34</v>
      </c>
      <c r="E10" s="2" t="s">
        <v>63</v>
      </c>
      <c r="F10" s="2" t="s">
        <v>64</v>
      </c>
      <c r="G10" s="2" t="s">
        <v>65</v>
      </c>
      <c r="H10" s="2" t="s">
        <v>66</v>
      </c>
      <c r="I10" s="3">
        <v>35</v>
      </c>
      <c r="J10" s="4">
        <v>135</v>
      </c>
      <c r="S10" s="5">
        <v>33</v>
      </c>
      <c r="U10" s="5">
        <v>37</v>
      </c>
      <c r="V10" s="5">
        <v>26</v>
      </c>
      <c r="W10" s="5">
        <v>33</v>
      </c>
      <c r="X10" s="5">
        <v>28</v>
      </c>
      <c r="Y10" s="5">
        <v>50</v>
      </c>
      <c r="AA10" s="5">
        <v>50</v>
      </c>
      <c r="AB10" s="5">
        <v>8</v>
      </c>
      <c r="AC10" s="5">
        <v>29</v>
      </c>
      <c r="AD10" s="5">
        <v>7</v>
      </c>
      <c r="AE10" s="6">
        <v>15</v>
      </c>
      <c r="AF10" s="7">
        <f t="shared" si="0"/>
        <v>301</v>
      </c>
    </row>
    <row r="11" spans="1:32" ht="15" customHeight="1" x14ac:dyDescent="0.25">
      <c r="A11" t="str">
        <f>IFERROR(_xlfn.XLOOKUP(--F11,[1]imagenes!$D:$D,[1]imagenes!$A:$A),"")</f>
        <v/>
      </c>
      <c r="B11" s="2" t="s">
        <v>32</v>
      </c>
      <c r="C11" s="2" t="s">
        <v>33</v>
      </c>
      <c r="D11" s="2" t="s">
        <v>34</v>
      </c>
      <c r="E11" s="2" t="s">
        <v>63</v>
      </c>
      <c r="F11" s="2" t="s">
        <v>67</v>
      </c>
      <c r="G11" s="2" t="s">
        <v>68</v>
      </c>
      <c r="H11" s="2" t="s">
        <v>69</v>
      </c>
      <c r="I11" s="3">
        <v>35</v>
      </c>
      <c r="J11" s="4">
        <v>135</v>
      </c>
      <c r="S11" s="5">
        <v>41</v>
      </c>
      <c r="T11" s="5">
        <v>10</v>
      </c>
      <c r="U11" s="5">
        <v>50</v>
      </c>
      <c r="V11" s="5">
        <v>41</v>
      </c>
      <c r="W11" s="5">
        <v>50</v>
      </c>
      <c r="X11" s="5">
        <v>40</v>
      </c>
      <c r="Y11" s="5">
        <v>50</v>
      </c>
      <c r="Z11" s="5">
        <v>27</v>
      </c>
      <c r="AA11" s="5">
        <v>50</v>
      </c>
      <c r="AB11" s="5">
        <v>25</v>
      </c>
      <c r="AC11" s="5">
        <v>50</v>
      </c>
      <c r="AD11" s="5">
        <v>26</v>
      </c>
      <c r="AE11" s="6">
        <v>38</v>
      </c>
      <c r="AF11" s="7">
        <f t="shared" si="0"/>
        <v>460</v>
      </c>
    </row>
    <row r="12" spans="1:32" ht="15" customHeight="1" x14ac:dyDescent="0.25">
      <c r="A12" t="str">
        <f>IFERROR(_xlfn.XLOOKUP(--F12,[1]imagenes!$D:$D,[1]imagenes!$A:$A),"")</f>
        <v/>
      </c>
      <c r="B12" s="2" t="s">
        <v>32</v>
      </c>
      <c r="C12" s="2" t="s">
        <v>33</v>
      </c>
      <c r="D12" s="2" t="s">
        <v>34</v>
      </c>
      <c r="E12" s="2" t="s">
        <v>63</v>
      </c>
      <c r="F12" s="2" t="s">
        <v>70</v>
      </c>
      <c r="G12" s="2" t="s">
        <v>71</v>
      </c>
      <c r="H12" s="2" t="s">
        <v>72</v>
      </c>
      <c r="I12" s="3">
        <v>35</v>
      </c>
      <c r="J12" s="4">
        <v>135</v>
      </c>
      <c r="S12" s="5">
        <v>32</v>
      </c>
      <c r="T12" s="5">
        <v>7</v>
      </c>
      <c r="U12" s="5">
        <v>48</v>
      </c>
      <c r="V12" s="5">
        <v>30</v>
      </c>
      <c r="W12" s="5">
        <v>45</v>
      </c>
      <c r="X12" s="5">
        <v>26</v>
      </c>
      <c r="Y12" s="5">
        <v>50</v>
      </c>
      <c r="Z12" s="5">
        <v>11</v>
      </c>
      <c r="AA12" s="5">
        <v>50</v>
      </c>
      <c r="AB12" s="5">
        <v>18</v>
      </c>
      <c r="AC12" s="5">
        <v>44</v>
      </c>
      <c r="AD12" s="5">
        <v>18</v>
      </c>
      <c r="AE12" s="6">
        <v>19</v>
      </c>
      <c r="AF12" s="7">
        <f t="shared" si="0"/>
        <v>379</v>
      </c>
    </row>
    <row r="13" spans="1:32" ht="15" customHeight="1" x14ac:dyDescent="0.25">
      <c r="A13" t="str">
        <f>IFERROR(_xlfn.XLOOKUP(--F13,[1]imagenes!$D:$D,[1]imagenes!$A:$A),"")</f>
        <v/>
      </c>
      <c r="B13" s="2" t="s">
        <v>32</v>
      </c>
      <c r="C13" s="2" t="s">
        <v>33</v>
      </c>
      <c r="D13" s="2" t="s">
        <v>34</v>
      </c>
      <c r="E13" s="2" t="s">
        <v>73</v>
      </c>
      <c r="F13" s="2" t="s">
        <v>74</v>
      </c>
      <c r="G13" s="2" t="s">
        <v>75</v>
      </c>
      <c r="H13" s="2" t="s">
        <v>76</v>
      </c>
      <c r="I13" s="3">
        <v>48</v>
      </c>
      <c r="J13" s="4">
        <v>150</v>
      </c>
      <c r="T13" s="5">
        <v>9</v>
      </c>
      <c r="X13" s="5">
        <v>33</v>
      </c>
      <c r="Y13" s="5">
        <v>36</v>
      </c>
      <c r="Z13" s="5">
        <v>50</v>
      </c>
      <c r="AA13" s="5">
        <v>50</v>
      </c>
      <c r="AB13" s="5">
        <v>20</v>
      </c>
      <c r="AC13" s="5">
        <v>45</v>
      </c>
      <c r="AD13" s="5">
        <v>30</v>
      </c>
      <c r="AE13" s="6">
        <v>78</v>
      </c>
      <c r="AF13" s="7">
        <f t="shared" si="0"/>
        <v>273</v>
      </c>
    </row>
    <row r="14" spans="1:32" ht="15" customHeight="1" x14ac:dyDescent="0.25">
      <c r="A14" t="str">
        <f>IFERROR(_xlfn.XLOOKUP(--F14,[1]imagenes!$D:$D,[1]imagenes!$A:$A),"")</f>
        <v/>
      </c>
      <c r="B14" s="2" t="s">
        <v>32</v>
      </c>
      <c r="C14" s="2" t="s">
        <v>33</v>
      </c>
      <c r="D14" s="2" t="s">
        <v>34</v>
      </c>
      <c r="E14" s="2" t="s">
        <v>73</v>
      </c>
      <c r="F14" s="2" t="s">
        <v>77</v>
      </c>
      <c r="G14" s="2" t="s">
        <v>78</v>
      </c>
      <c r="H14" s="2" t="s">
        <v>79</v>
      </c>
      <c r="I14" s="3">
        <v>48</v>
      </c>
      <c r="J14" s="4">
        <v>150</v>
      </c>
      <c r="T14" s="5">
        <v>12</v>
      </c>
      <c r="U14" s="5">
        <v>32</v>
      </c>
      <c r="V14" s="5">
        <v>38</v>
      </c>
      <c r="W14" s="5">
        <v>50</v>
      </c>
      <c r="X14" s="5">
        <v>50</v>
      </c>
      <c r="Y14" s="5">
        <v>50</v>
      </c>
      <c r="Z14" s="5">
        <v>50</v>
      </c>
      <c r="AA14" s="5">
        <v>50</v>
      </c>
      <c r="AB14" s="5">
        <v>50</v>
      </c>
      <c r="AC14" s="5">
        <v>50</v>
      </c>
      <c r="AD14" s="5">
        <v>50</v>
      </c>
      <c r="AE14" s="6">
        <v>81</v>
      </c>
      <c r="AF14" s="7">
        <f t="shared" si="0"/>
        <v>482</v>
      </c>
    </row>
    <row r="15" spans="1:32" ht="15" customHeight="1" x14ac:dyDescent="0.25">
      <c r="A15" t="str">
        <f>IFERROR(_xlfn.XLOOKUP(--F15,[1]imagenes!$D:$D,[1]imagenes!$A:$A),"")</f>
        <v/>
      </c>
      <c r="B15" s="2" t="s">
        <v>32</v>
      </c>
      <c r="C15" s="2" t="s">
        <v>33</v>
      </c>
      <c r="D15" s="2" t="s">
        <v>34</v>
      </c>
      <c r="E15" s="2" t="s">
        <v>73</v>
      </c>
      <c r="F15" s="2" t="s">
        <v>80</v>
      </c>
      <c r="G15" s="2" t="s">
        <v>81</v>
      </c>
      <c r="H15" s="2" t="s">
        <v>82</v>
      </c>
      <c r="I15" s="3">
        <v>48</v>
      </c>
      <c r="J15" s="4">
        <v>150</v>
      </c>
      <c r="U15" s="5">
        <v>21</v>
      </c>
      <c r="V15" s="5">
        <v>40</v>
      </c>
      <c r="W15" s="5">
        <v>50</v>
      </c>
      <c r="X15" s="5">
        <v>50</v>
      </c>
      <c r="Y15" s="5">
        <v>50</v>
      </c>
      <c r="Z15" s="5">
        <v>50</v>
      </c>
      <c r="AA15" s="5">
        <v>50</v>
      </c>
      <c r="AB15" s="5">
        <v>50</v>
      </c>
      <c r="AC15" s="5">
        <v>50</v>
      </c>
      <c r="AD15" s="5">
        <v>50</v>
      </c>
      <c r="AE15" s="6">
        <v>23</v>
      </c>
      <c r="AF15" s="7">
        <f t="shared" si="0"/>
        <v>461</v>
      </c>
    </row>
    <row r="16" spans="1:32" ht="15" customHeight="1" x14ac:dyDescent="0.25">
      <c r="A16" t="str">
        <f>IFERROR(_xlfn.XLOOKUP(--F16,[1]imagenes!$D:$D,[1]imagenes!$A:$A),"")</f>
        <v/>
      </c>
      <c r="B16" s="2" t="s">
        <v>32</v>
      </c>
      <c r="C16" s="2" t="s">
        <v>33</v>
      </c>
      <c r="D16" s="2" t="s">
        <v>34</v>
      </c>
      <c r="E16" s="2" t="s">
        <v>73</v>
      </c>
      <c r="F16" s="2" t="s">
        <v>83</v>
      </c>
      <c r="G16" s="2" t="s">
        <v>84</v>
      </c>
      <c r="H16" s="2" t="s">
        <v>85</v>
      </c>
      <c r="I16" s="3">
        <v>48</v>
      </c>
      <c r="J16" s="4">
        <v>150</v>
      </c>
      <c r="U16" s="5">
        <v>28</v>
      </c>
      <c r="V16" s="5">
        <v>35</v>
      </c>
      <c r="W16" s="5">
        <v>50</v>
      </c>
      <c r="X16" s="5">
        <v>50</v>
      </c>
      <c r="Y16" s="5">
        <v>50</v>
      </c>
      <c r="Z16" s="5">
        <v>50</v>
      </c>
      <c r="AA16" s="5">
        <v>50</v>
      </c>
      <c r="AB16" s="5">
        <v>50</v>
      </c>
      <c r="AC16" s="5">
        <v>50</v>
      </c>
      <c r="AD16" s="5">
        <v>49</v>
      </c>
      <c r="AE16" s="6">
        <v>8</v>
      </c>
      <c r="AF16" s="7">
        <f t="shared" si="0"/>
        <v>462</v>
      </c>
    </row>
    <row r="17" spans="1:32" ht="15" customHeight="1" x14ac:dyDescent="0.25">
      <c r="A17" t="str">
        <f>IFERROR(_xlfn.XLOOKUP(--F17,[1]imagenes!$D:$D,[1]imagenes!$A:$A),"")</f>
        <v/>
      </c>
      <c r="B17" s="2" t="s">
        <v>32</v>
      </c>
      <c r="C17" s="2" t="s">
        <v>33</v>
      </c>
      <c r="D17" s="2" t="s">
        <v>34</v>
      </c>
      <c r="E17" s="2" t="s">
        <v>73</v>
      </c>
      <c r="F17" s="2" t="s">
        <v>86</v>
      </c>
      <c r="G17" s="2" t="s">
        <v>87</v>
      </c>
      <c r="H17" s="2" t="s">
        <v>88</v>
      </c>
      <c r="I17" s="3">
        <v>48</v>
      </c>
      <c r="J17" s="4">
        <v>150</v>
      </c>
      <c r="U17" s="5">
        <v>19</v>
      </c>
      <c r="V17" s="5">
        <v>27</v>
      </c>
      <c r="W17" s="5">
        <v>32</v>
      </c>
      <c r="X17" s="5">
        <v>33</v>
      </c>
      <c r="Y17" s="5">
        <v>46</v>
      </c>
      <c r="Z17" s="5">
        <v>43</v>
      </c>
      <c r="AA17" s="5">
        <v>46</v>
      </c>
      <c r="AB17" s="5">
        <v>31</v>
      </c>
      <c r="AC17" s="5">
        <v>36</v>
      </c>
      <c r="AD17" s="5">
        <v>33</v>
      </c>
      <c r="AF17" s="7">
        <f t="shared" si="0"/>
        <v>346</v>
      </c>
    </row>
    <row r="18" spans="1:32" ht="15" customHeight="1" x14ac:dyDescent="0.25">
      <c r="A18" t="str">
        <f>IFERROR(_xlfn.XLOOKUP(--F18,[1]imagenes!$D:$D,[1]imagenes!$A:$A),"")</f>
        <v/>
      </c>
      <c r="B18" s="2" t="s">
        <v>32</v>
      </c>
      <c r="C18" s="2" t="s">
        <v>33</v>
      </c>
      <c r="D18" s="2" t="s">
        <v>34</v>
      </c>
      <c r="E18" s="2" t="s">
        <v>89</v>
      </c>
      <c r="F18" s="2" t="s">
        <v>90</v>
      </c>
      <c r="G18" s="2" t="s">
        <v>91</v>
      </c>
      <c r="H18" s="2" t="s">
        <v>69</v>
      </c>
      <c r="I18" s="3">
        <v>52</v>
      </c>
      <c r="J18" s="4">
        <v>165</v>
      </c>
      <c r="S18" s="5">
        <v>46</v>
      </c>
      <c r="T18" s="5">
        <v>9</v>
      </c>
      <c r="U18" s="5">
        <v>50</v>
      </c>
      <c r="V18" s="5">
        <v>38</v>
      </c>
      <c r="W18" s="5">
        <v>50</v>
      </c>
      <c r="X18" s="5">
        <v>31</v>
      </c>
      <c r="Y18" s="5">
        <v>50</v>
      </c>
      <c r="AA18" s="5">
        <v>50</v>
      </c>
      <c r="AB18" s="5">
        <v>16</v>
      </c>
      <c r="AC18" s="5">
        <v>50</v>
      </c>
      <c r="AD18" s="5">
        <v>14</v>
      </c>
      <c r="AE18" s="6">
        <v>29</v>
      </c>
      <c r="AF18" s="7">
        <f t="shared" si="0"/>
        <v>404</v>
      </c>
    </row>
    <row r="19" spans="1:32" ht="15" customHeight="1" x14ac:dyDescent="0.25">
      <c r="A19" t="str">
        <f>IFERROR(_xlfn.XLOOKUP(--F19,[1]imagenes!$D:$D,[1]imagenes!$A:$A),"")</f>
        <v/>
      </c>
      <c r="B19" s="2" t="s">
        <v>32</v>
      </c>
      <c r="C19" s="2" t="s">
        <v>33</v>
      </c>
      <c r="D19" s="2" t="s">
        <v>34</v>
      </c>
      <c r="E19" s="2" t="s">
        <v>89</v>
      </c>
      <c r="F19" s="2" t="s">
        <v>92</v>
      </c>
      <c r="G19" s="2" t="s">
        <v>93</v>
      </c>
      <c r="H19" s="2" t="s">
        <v>94</v>
      </c>
      <c r="I19" s="3">
        <v>52</v>
      </c>
      <c r="J19" s="4">
        <v>165</v>
      </c>
      <c r="S19" s="5">
        <v>48</v>
      </c>
      <c r="T19" s="5">
        <v>8</v>
      </c>
      <c r="U19" s="5">
        <v>50</v>
      </c>
      <c r="V19" s="5">
        <v>31</v>
      </c>
      <c r="W19" s="5">
        <v>31</v>
      </c>
      <c r="Y19" s="5">
        <v>50</v>
      </c>
      <c r="AA19" s="5">
        <v>50</v>
      </c>
      <c r="AC19" s="5">
        <v>20</v>
      </c>
      <c r="AE19" s="6">
        <v>25</v>
      </c>
      <c r="AF19" s="7">
        <f t="shared" si="0"/>
        <v>288</v>
      </c>
    </row>
    <row r="20" spans="1:32" ht="15" customHeight="1" x14ac:dyDescent="0.25">
      <c r="A20" t="str">
        <f>IFERROR(_xlfn.XLOOKUP(--F20,[1]imagenes!$D:$D,[1]imagenes!$A:$A),"")</f>
        <v/>
      </c>
      <c r="B20" s="2" t="s">
        <v>32</v>
      </c>
      <c r="C20" s="2" t="s">
        <v>33</v>
      </c>
      <c r="D20" s="2" t="s">
        <v>34</v>
      </c>
      <c r="E20" s="2" t="s">
        <v>95</v>
      </c>
      <c r="F20" s="2" t="s">
        <v>96</v>
      </c>
      <c r="G20" s="2" t="s">
        <v>97</v>
      </c>
      <c r="H20" s="2" t="s">
        <v>69</v>
      </c>
      <c r="I20" s="3">
        <v>46.5</v>
      </c>
      <c r="J20" s="4">
        <v>165</v>
      </c>
      <c r="S20" s="5">
        <v>7</v>
      </c>
      <c r="T20" s="5">
        <v>11</v>
      </c>
      <c r="U20" s="5">
        <v>43</v>
      </c>
      <c r="V20" s="5">
        <v>39</v>
      </c>
      <c r="W20" s="5">
        <v>50</v>
      </c>
      <c r="X20" s="5">
        <v>50</v>
      </c>
      <c r="Y20" s="5">
        <v>50</v>
      </c>
      <c r="Z20" s="5">
        <v>50</v>
      </c>
      <c r="AA20" s="5">
        <v>50</v>
      </c>
      <c r="AB20" s="5">
        <v>50</v>
      </c>
      <c r="AC20" s="5">
        <v>50</v>
      </c>
      <c r="AD20" s="5">
        <v>50</v>
      </c>
      <c r="AE20" s="6">
        <v>45</v>
      </c>
      <c r="AF20" s="7">
        <f t="shared" si="0"/>
        <v>500</v>
      </c>
    </row>
    <row r="21" spans="1:32" ht="15" customHeight="1" x14ac:dyDescent="0.25">
      <c r="A21" t="str">
        <f>IFERROR(_xlfn.XLOOKUP(--F21,[1]imagenes!$D:$D,[1]imagenes!$A:$A),"")</f>
        <v/>
      </c>
      <c r="B21" s="2" t="s">
        <v>32</v>
      </c>
      <c r="C21" s="2" t="s">
        <v>33</v>
      </c>
      <c r="D21" s="2" t="s">
        <v>34</v>
      </c>
      <c r="E21" s="2" t="s">
        <v>95</v>
      </c>
      <c r="F21" s="2" t="s">
        <v>98</v>
      </c>
      <c r="G21" s="2" t="s">
        <v>99</v>
      </c>
      <c r="H21" s="2" t="s">
        <v>66</v>
      </c>
      <c r="I21" s="3">
        <v>46.5</v>
      </c>
      <c r="J21" s="4">
        <v>165</v>
      </c>
      <c r="U21" s="5">
        <v>27</v>
      </c>
      <c r="V21" s="5">
        <v>25</v>
      </c>
      <c r="W21" s="5">
        <v>31</v>
      </c>
      <c r="X21" s="5">
        <v>36</v>
      </c>
      <c r="Y21" s="5">
        <v>49</v>
      </c>
      <c r="Z21" s="5">
        <v>47</v>
      </c>
      <c r="AA21" s="5">
        <v>43</v>
      </c>
      <c r="AB21" s="5">
        <v>26</v>
      </c>
      <c r="AC21" s="5">
        <v>42</v>
      </c>
      <c r="AD21" s="5">
        <v>33</v>
      </c>
      <c r="AE21" s="6">
        <v>7</v>
      </c>
      <c r="AF21" s="7">
        <f t="shared" si="0"/>
        <v>359</v>
      </c>
    </row>
    <row r="22" spans="1:32" ht="15" customHeight="1" x14ac:dyDescent="0.25">
      <c r="A22" t="str">
        <f>IFERROR(_xlfn.XLOOKUP(--F22,[1]imagenes!$D:$D,[1]imagenes!$A:$A),"")</f>
        <v/>
      </c>
      <c r="B22" s="2" t="s">
        <v>32</v>
      </c>
      <c r="C22" s="2" t="s">
        <v>33</v>
      </c>
      <c r="D22" s="2" t="s">
        <v>34</v>
      </c>
      <c r="E22" s="2" t="s">
        <v>100</v>
      </c>
      <c r="F22" s="2" t="s">
        <v>101</v>
      </c>
      <c r="G22" s="2" t="s">
        <v>102</v>
      </c>
      <c r="H22" s="2" t="s">
        <v>103</v>
      </c>
      <c r="I22" s="3">
        <v>33.5</v>
      </c>
      <c r="J22" s="4">
        <v>115</v>
      </c>
      <c r="S22" s="5">
        <v>26</v>
      </c>
      <c r="T22" s="5">
        <v>36</v>
      </c>
      <c r="U22" s="5">
        <v>50</v>
      </c>
      <c r="V22" s="5">
        <v>50</v>
      </c>
      <c r="W22" s="5">
        <v>50</v>
      </c>
      <c r="X22" s="5">
        <v>50</v>
      </c>
      <c r="Y22" s="5">
        <v>50</v>
      </c>
      <c r="Z22" s="5">
        <v>50</v>
      </c>
      <c r="AA22" s="5">
        <v>50</v>
      </c>
      <c r="AB22" s="5">
        <v>50</v>
      </c>
      <c r="AC22" s="5">
        <v>50</v>
      </c>
      <c r="AD22" s="5">
        <v>50</v>
      </c>
      <c r="AE22" s="6">
        <v>86</v>
      </c>
      <c r="AF22" s="7">
        <f t="shared" si="0"/>
        <v>562</v>
      </c>
    </row>
    <row r="23" spans="1:32" ht="15" customHeight="1" x14ac:dyDescent="0.25">
      <c r="A23" t="str">
        <f>IFERROR(_xlfn.XLOOKUP(--F23,[1]imagenes!$D:$D,[1]imagenes!$A:$A),"")</f>
        <v/>
      </c>
      <c r="B23" s="2" t="s">
        <v>32</v>
      </c>
      <c r="C23" s="2" t="s">
        <v>33</v>
      </c>
      <c r="D23" s="2" t="s">
        <v>34</v>
      </c>
      <c r="E23" s="2" t="s">
        <v>100</v>
      </c>
      <c r="F23" s="2" t="s">
        <v>104</v>
      </c>
      <c r="G23" s="2" t="s">
        <v>105</v>
      </c>
      <c r="H23" s="2" t="s">
        <v>106</v>
      </c>
      <c r="I23" s="3">
        <v>33.5</v>
      </c>
      <c r="J23" s="4">
        <v>115</v>
      </c>
      <c r="S23" s="5">
        <v>24</v>
      </c>
      <c r="T23" s="5">
        <v>17</v>
      </c>
      <c r="U23" s="5">
        <v>29</v>
      </c>
      <c r="V23" s="5">
        <v>31</v>
      </c>
      <c r="W23" s="5">
        <v>35</v>
      </c>
      <c r="X23" s="5">
        <v>7</v>
      </c>
      <c r="Y23" s="5">
        <v>26</v>
      </c>
      <c r="AB23" s="5">
        <v>17</v>
      </c>
      <c r="AD23" s="5">
        <v>37</v>
      </c>
      <c r="AE23" s="6">
        <v>10</v>
      </c>
      <c r="AF23" s="7">
        <f t="shared" si="0"/>
        <v>223</v>
      </c>
    </row>
    <row r="24" spans="1:32" ht="15" customHeight="1" x14ac:dyDescent="0.25">
      <c r="A24" t="str">
        <f>IFERROR(_xlfn.XLOOKUP(--F24,[1]imagenes!$D:$D,[1]imagenes!$A:$A),"")</f>
        <v/>
      </c>
      <c r="B24" s="2" t="s">
        <v>32</v>
      </c>
      <c r="C24" s="2" t="s">
        <v>33</v>
      </c>
      <c r="D24" s="2" t="s">
        <v>34</v>
      </c>
      <c r="E24" s="2" t="s">
        <v>100</v>
      </c>
      <c r="F24" s="2" t="s">
        <v>107</v>
      </c>
      <c r="G24" s="2" t="s">
        <v>108</v>
      </c>
      <c r="H24" s="2" t="s">
        <v>109</v>
      </c>
      <c r="I24" s="3">
        <v>33.5</v>
      </c>
      <c r="J24" s="4">
        <v>115</v>
      </c>
      <c r="T24" s="5">
        <v>12</v>
      </c>
      <c r="U24" s="5">
        <v>24</v>
      </c>
      <c r="V24" s="5">
        <v>27</v>
      </c>
      <c r="W24" s="5">
        <v>34</v>
      </c>
      <c r="X24" s="5">
        <v>38</v>
      </c>
      <c r="Y24" s="5">
        <v>43</v>
      </c>
      <c r="Z24" s="5">
        <v>47</v>
      </c>
      <c r="AA24" s="5">
        <v>45</v>
      </c>
      <c r="AB24" s="5">
        <v>33</v>
      </c>
      <c r="AC24" s="5">
        <v>44</v>
      </c>
      <c r="AD24" s="5">
        <v>33</v>
      </c>
      <c r="AE24" s="6">
        <v>29</v>
      </c>
      <c r="AF24" s="7">
        <f t="shared" si="0"/>
        <v>380</v>
      </c>
    </row>
    <row r="25" spans="1:32" ht="15" customHeight="1" x14ac:dyDescent="0.25">
      <c r="A25" t="str">
        <f>IFERROR(_xlfn.XLOOKUP(--F25,[1]imagenes!$D:$D,[1]imagenes!$A:$A),"")</f>
        <v/>
      </c>
      <c r="B25" s="2" t="s">
        <v>32</v>
      </c>
      <c r="C25" s="2" t="s">
        <v>33</v>
      </c>
      <c r="D25" s="2" t="s">
        <v>34</v>
      </c>
      <c r="E25" s="2" t="s">
        <v>110</v>
      </c>
      <c r="F25" s="2" t="s">
        <v>111</v>
      </c>
      <c r="G25" s="2" t="s">
        <v>112</v>
      </c>
      <c r="H25" s="2" t="s">
        <v>113</v>
      </c>
      <c r="I25" s="3">
        <v>39</v>
      </c>
      <c r="J25" s="4">
        <v>135</v>
      </c>
      <c r="U25" s="5">
        <v>32</v>
      </c>
      <c r="V25" s="5">
        <v>35</v>
      </c>
      <c r="W25" s="5">
        <v>50</v>
      </c>
      <c r="X25" s="5">
        <v>50</v>
      </c>
      <c r="Y25" s="5">
        <v>50</v>
      </c>
      <c r="Z25" s="5">
        <v>50</v>
      </c>
      <c r="AA25" s="5">
        <v>50</v>
      </c>
      <c r="AB25" s="5">
        <v>50</v>
      </c>
      <c r="AC25" s="5">
        <v>50</v>
      </c>
      <c r="AD25" s="5">
        <v>50</v>
      </c>
      <c r="AE25" s="6">
        <v>17</v>
      </c>
      <c r="AF25" s="7">
        <f t="shared" si="0"/>
        <v>467</v>
      </c>
    </row>
    <row r="26" spans="1:32" ht="15" customHeight="1" x14ac:dyDescent="0.25">
      <c r="A26" t="str">
        <f>IFERROR(_xlfn.XLOOKUP(--F26,[1]imagenes!$D:$D,[1]imagenes!$A:$A),"")</f>
        <v/>
      </c>
      <c r="B26" s="2" t="s">
        <v>32</v>
      </c>
      <c r="C26" s="2" t="s">
        <v>33</v>
      </c>
      <c r="D26" s="2" t="s">
        <v>34</v>
      </c>
      <c r="E26" s="2" t="s">
        <v>110</v>
      </c>
      <c r="F26" s="2" t="s">
        <v>114</v>
      </c>
      <c r="G26" s="2" t="s">
        <v>115</v>
      </c>
      <c r="H26" s="2" t="s">
        <v>116</v>
      </c>
      <c r="I26" s="3">
        <v>39</v>
      </c>
      <c r="J26" s="4">
        <v>135</v>
      </c>
      <c r="U26" s="5">
        <v>43</v>
      </c>
      <c r="V26" s="5">
        <v>50</v>
      </c>
      <c r="W26" s="5">
        <v>50</v>
      </c>
      <c r="X26" s="5">
        <v>50</v>
      </c>
      <c r="Y26" s="5">
        <v>50</v>
      </c>
      <c r="Z26" s="5">
        <v>50</v>
      </c>
      <c r="AA26" s="5">
        <v>50</v>
      </c>
      <c r="AB26" s="5">
        <v>50</v>
      </c>
      <c r="AC26" s="5">
        <v>50</v>
      </c>
      <c r="AD26" s="5">
        <v>50</v>
      </c>
      <c r="AE26" s="6">
        <v>37</v>
      </c>
      <c r="AF26" s="7">
        <f t="shared" si="0"/>
        <v>493</v>
      </c>
    </row>
    <row r="27" spans="1:32" ht="15" customHeight="1" x14ac:dyDescent="0.25">
      <c r="A27" t="str">
        <f>IFERROR(_xlfn.XLOOKUP(--F27,[1]imagenes!$D:$D,[1]imagenes!$A:$A),"")</f>
        <v/>
      </c>
      <c r="B27" s="2" t="s">
        <v>32</v>
      </c>
      <c r="C27" s="2" t="s">
        <v>33</v>
      </c>
      <c r="D27" s="2" t="s">
        <v>34</v>
      </c>
      <c r="E27" s="2" t="s">
        <v>117</v>
      </c>
      <c r="F27" s="2" t="s">
        <v>118</v>
      </c>
      <c r="G27" s="2" t="s">
        <v>119</v>
      </c>
      <c r="H27" s="2" t="s">
        <v>113</v>
      </c>
      <c r="I27" s="3">
        <v>45</v>
      </c>
      <c r="J27" s="4">
        <v>165</v>
      </c>
      <c r="S27" s="5">
        <v>9</v>
      </c>
      <c r="T27" s="5">
        <v>14</v>
      </c>
      <c r="U27" s="5">
        <v>48</v>
      </c>
      <c r="V27" s="5">
        <v>50</v>
      </c>
      <c r="W27" s="5">
        <v>50</v>
      </c>
      <c r="X27" s="5">
        <v>50</v>
      </c>
      <c r="Y27" s="5">
        <v>50</v>
      </c>
      <c r="Z27" s="5">
        <v>50</v>
      </c>
      <c r="AA27" s="5">
        <v>50</v>
      </c>
      <c r="AB27" s="5">
        <v>50</v>
      </c>
      <c r="AC27" s="5">
        <v>50</v>
      </c>
      <c r="AD27" s="5">
        <v>50</v>
      </c>
      <c r="AE27" s="6">
        <v>80</v>
      </c>
      <c r="AF27" s="7">
        <f t="shared" si="0"/>
        <v>521</v>
      </c>
    </row>
    <row r="28" spans="1:32" ht="15" customHeight="1" x14ac:dyDescent="0.25">
      <c r="A28" t="str">
        <f>IFERROR(_xlfn.XLOOKUP(--F28,[1]imagenes!$D:$D,[1]imagenes!$A:$A),"")</f>
        <v/>
      </c>
      <c r="B28" s="2" t="s">
        <v>32</v>
      </c>
      <c r="C28" s="2" t="s">
        <v>33</v>
      </c>
      <c r="D28" s="2" t="s">
        <v>34</v>
      </c>
      <c r="E28" s="2" t="s">
        <v>117</v>
      </c>
      <c r="F28" s="2" t="s">
        <v>120</v>
      </c>
      <c r="G28" s="2" t="s">
        <v>121</v>
      </c>
      <c r="H28" s="2" t="s">
        <v>122</v>
      </c>
      <c r="I28" s="3">
        <v>45</v>
      </c>
      <c r="J28" s="4">
        <v>165</v>
      </c>
      <c r="U28" s="5">
        <v>28</v>
      </c>
      <c r="V28" s="5">
        <v>38</v>
      </c>
      <c r="W28" s="5">
        <v>50</v>
      </c>
      <c r="X28" s="5">
        <v>50</v>
      </c>
      <c r="Y28" s="5">
        <v>50</v>
      </c>
      <c r="Z28" s="5">
        <v>50</v>
      </c>
      <c r="AA28" s="5">
        <v>50</v>
      </c>
      <c r="AB28" s="5">
        <v>50</v>
      </c>
      <c r="AC28" s="5">
        <v>50</v>
      </c>
      <c r="AD28" s="5">
        <v>50</v>
      </c>
      <c r="AE28" s="6">
        <v>64</v>
      </c>
      <c r="AF28" s="7">
        <f t="shared" si="0"/>
        <v>466</v>
      </c>
    </row>
    <row r="29" spans="1:32" ht="15" customHeight="1" x14ac:dyDescent="0.25">
      <c r="A29" t="str">
        <f>IFERROR(_xlfn.XLOOKUP(--F29,[1]imagenes!$D:$D,[1]imagenes!$A:$A),"")</f>
        <v/>
      </c>
      <c r="B29" s="2" t="s">
        <v>32</v>
      </c>
      <c r="C29" s="2" t="s">
        <v>33</v>
      </c>
      <c r="D29" s="2" t="s">
        <v>34</v>
      </c>
      <c r="E29" s="2" t="s">
        <v>123</v>
      </c>
      <c r="F29" s="2" t="s">
        <v>124</v>
      </c>
      <c r="G29" s="2" t="s">
        <v>125</v>
      </c>
      <c r="H29" s="2" t="s">
        <v>122</v>
      </c>
      <c r="I29" s="3">
        <v>45</v>
      </c>
      <c r="J29" s="4">
        <v>165</v>
      </c>
      <c r="AE29" s="6">
        <v>505</v>
      </c>
      <c r="AF29" s="7">
        <f t="shared" si="0"/>
        <v>0</v>
      </c>
    </row>
    <row r="30" spans="1:32" ht="15" customHeight="1" x14ac:dyDescent="0.25">
      <c r="A30" t="str">
        <f>IFERROR(_xlfn.XLOOKUP(--F30,[1]imagenes!$D:$D,[1]imagenes!$A:$A),"")</f>
        <v/>
      </c>
      <c r="B30" s="2" t="s">
        <v>32</v>
      </c>
      <c r="C30" s="2" t="s">
        <v>33</v>
      </c>
      <c r="D30" s="2" t="s">
        <v>34</v>
      </c>
      <c r="E30" s="2" t="s">
        <v>126</v>
      </c>
      <c r="F30" s="2" t="s">
        <v>127</v>
      </c>
      <c r="G30" s="2" t="s">
        <v>128</v>
      </c>
      <c r="H30" s="2" t="s">
        <v>122</v>
      </c>
      <c r="I30" s="3">
        <v>43</v>
      </c>
      <c r="J30" s="4">
        <v>155</v>
      </c>
      <c r="U30" s="5">
        <v>44</v>
      </c>
      <c r="V30" s="5">
        <v>43</v>
      </c>
      <c r="W30" s="5">
        <v>50</v>
      </c>
      <c r="X30" s="5">
        <v>50</v>
      </c>
      <c r="Y30" s="5">
        <v>50</v>
      </c>
      <c r="Z30" s="5">
        <v>50</v>
      </c>
      <c r="AA30" s="5">
        <v>50</v>
      </c>
      <c r="AB30" s="5">
        <v>50</v>
      </c>
      <c r="AC30" s="5">
        <v>50</v>
      </c>
      <c r="AD30" s="5">
        <v>50</v>
      </c>
      <c r="AE30" s="6">
        <v>75</v>
      </c>
      <c r="AF30" s="7">
        <f t="shared" si="0"/>
        <v>487</v>
      </c>
    </row>
    <row r="31" spans="1:32" ht="15" customHeight="1" x14ac:dyDescent="0.25">
      <c r="A31" t="str">
        <f>IFERROR(_xlfn.XLOOKUP(--F31,[1]imagenes!$D:$D,[1]imagenes!$A:$A),"")</f>
        <v/>
      </c>
      <c r="B31" s="2" t="s">
        <v>32</v>
      </c>
      <c r="C31" s="2" t="s">
        <v>33</v>
      </c>
      <c r="D31" s="2" t="s">
        <v>34</v>
      </c>
      <c r="E31" s="2" t="s">
        <v>126</v>
      </c>
      <c r="F31" s="2" t="s">
        <v>129</v>
      </c>
      <c r="G31" s="2" t="s">
        <v>130</v>
      </c>
      <c r="H31" s="2" t="s">
        <v>113</v>
      </c>
      <c r="I31" s="3">
        <v>43</v>
      </c>
      <c r="J31" s="4">
        <v>155</v>
      </c>
      <c r="V31" s="5">
        <v>28</v>
      </c>
      <c r="W31" s="5">
        <v>40</v>
      </c>
      <c r="X31" s="5">
        <v>50</v>
      </c>
      <c r="Y31" s="5">
        <v>50</v>
      </c>
      <c r="Z31" s="5">
        <v>50</v>
      </c>
      <c r="AA31" s="5">
        <v>50</v>
      </c>
      <c r="AB31" s="5">
        <v>50</v>
      </c>
      <c r="AC31" s="5">
        <v>50</v>
      </c>
      <c r="AD31" s="5">
        <v>48</v>
      </c>
      <c r="AE31" s="6">
        <v>30</v>
      </c>
      <c r="AF31" s="7">
        <f t="shared" si="0"/>
        <v>416</v>
      </c>
    </row>
    <row r="32" spans="1:32" ht="15" customHeight="1" x14ac:dyDescent="0.25">
      <c r="A32" t="str">
        <f>IFERROR(_xlfn.XLOOKUP(--F32,[1]imagenes!$D:$D,[1]imagenes!$A:$A),"")</f>
        <v/>
      </c>
      <c r="B32" s="2" t="s">
        <v>32</v>
      </c>
      <c r="C32" s="2" t="s">
        <v>33</v>
      </c>
      <c r="D32" s="2" t="s">
        <v>34</v>
      </c>
      <c r="E32" s="2" t="s">
        <v>131</v>
      </c>
      <c r="F32" s="2" t="s">
        <v>132</v>
      </c>
      <c r="G32" s="2" t="s">
        <v>133</v>
      </c>
      <c r="H32" s="2" t="s">
        <v>122</v>
      </c>
      <c r="I32" s="3">
        <v>43</v>
      </c>
      <c r="J32" s="4">
        <v>155</v>
      </c>
      <c r="AE32" s="6">
        <v>447</v>
      </c>
      <c r="AF32" s="7">
        <f t="shared" si="0"/>
        <v>0</v>
      </c>
    </row>
    <row r="33" spans="1:32" ht="15" customHeight="1" x14ac:dyDescent="0.25">
      <c r="A33" t="str">
        <f>IFERROR(_xlfn.XLOOKUP(--F33,[1]imagenes!$D:$D,[1]imagenes!$A:$A),"")</f>
        <v/>
      </c>
      <c r="B33" s="2" t="s">
        <v>32</v>
      </c>
      <c r="C33" s="2" t="s">
        <v>33</v>
      </c>
      <c r="D33" s="2" t="s">
        <v>134</v>
      </c>
      <c r="E33" s="2" t="s">
        <v>135</v>
      </c>
      <c r="F33" s="2" t="s">
        <v>136</v>
      </c>
      <c r="G33" s="2" t="s">
        <v>137</v>
      </c>
      <c r="H33" s="2" t="s">
        <v>113</v>
      </c>
      <c r="I33" s="3">
        <v>24</v>
      </c>
      <c r="J33" s="4">
        <v>95</v>
      </c>
      <c r="O33" s="5">
        <v>39</v>
      </c>
      <c r="P33" s="5">
        <v>50</v>
      </c>
      <c r="Q33" s="5">
        <v>50</v>
      </c>
      <c r="R33" s="5">
        <v>50</v>
      </c>
      <c r="S33" s="5">
        <v>50</v>
      </c>
      <c r="T33" s="5">
        <v>50</v>
      </c>
      <c r="U33" s="5">
        <v>50</v>
      </c>
      <c r="V33" s="5">
        <v>50</v>
      </c>
      <c r="W33" s="5">
        <v>50</v>
      </c>
      <c r="X33" s="5">
        <v>50</v>
      </c>
      <c r="Y33" s="5">
        <v>50</v>
      </c>
      <c r="Z33" s="5">
        <v>50</v>
      </c>
      <c r="AA33" s="5">
        <v>50</v>
      </c>
      <c r="AF33" s="7">
        <f t="shared" si="0"/>
        <v>639</v>
      </c>
    </row>
    <row r="34" spans="1:32" ht="15" customHeight="1" x14ac:dyDescent="0.25">
      <c r="A34" t="str">
        <f>IFERROR(_xlfn.XLOOKUP(--F34,[1]imagenes!$D:$D,[1]imagenes!$A:$A),"")</f>
        <v/>
      </c>
      <c r="B34" s="2" t="s">
        <v>32</v>
      </c>
      <c r="C34" s="2" t="s">
        <v>33</v>
      </c>
      <c r="D34" s="2" t="s">
        <v>134</v>
      </c>
      <c r="E34" s="2" t="s">
        <v>135</v>
      </c>
      <c r="F34" s="2" t="s">
        <v>138</v>
      </c>
      <c r="G34" s="2" t="s">
        <v>139</v>
      </c>
      <c r="H34" s="2" t="s">
        <v>140</v>
      </c>
      <c r="I34" s="3">
        <v>24</v>
      </c>
      <c r="J34" s="4">
        <v>95</v>
      </c>
      <c r="O34" s="5">
        <v>50</v>
      </c>
      <c r="P34" s="5">
        <v>50</v>
      </c>
      <c r="Q34" s="5">
        <v>50</v>
      </c>
      <c r="R34" s="5">
        <v>50</v>
      </c>
      <c r="S34" s="5">
        <v>50</v>
      </c>
      <c r="T34" s="5">
        <v>50</v>
      </c>
      <c r="U34" s="5">
        <v>50</v>
      </c>
      <c r="V34" s="5">
        <v>50</v>
      </c>
      <c r="W34" s="5">
        <v>50</v>
      </c>
      <c r="X34" s="5">
        <v>50</v>
      </c>
      <c r="Y34" s="5">
        <v>50</v>
      </c>
      <c r="Z34" s="5">
        <v>50</v>
      </c>
      <c r="AA34" s="5">
        <v>50</v>
      </c>
      <c r="AF34" s="7">
        <f t="shared" si="0"/>
        <v>650</v>
      </c>
    </row>
    <row r="35" spans="1:32" ht="15" customHeight="1" x14ac:dyDescent="0.25">
      <c r="A35" t="str">
        <f>IFERROR(_xlfn.XLOOKUP(--F35,[1]imagenes!$D:$D,[1]imagenes!$A:$A),"")</f>
        <v/>
      </c>
      <c r="B35" s="2" t="s">
        <v>32</v>
      </c>
      <c r="C35" s="2" t="s">
        <v>33</v>
      </c>
      <c r="D35" s="2" t="s">
        <v>134</v>
      </c>
      <c r="E35" s="2" t="s">
        <v>135</v>
      </c>
      <c r="F35" s="2" t="s">
        <v>141</v>
      </c>
      <c r="G35" s="2" t="s">
        <v>142</v>
      </c>
      <c r="H35" s="2" t="s">
        <v>143</v>
      </c>
      <c r="I35" s="3">
        <v>24</v>
      </c>
      <c r="J35" s="4">
        <v>95</v>
      </c>
      <c r="Q35" s="5">
        <v>22</v>
      </c>
      <c r="R35" s="5">
        <v>33</v>
      </c>
      <c r="S35" s="5">
        <v>50</v>
      </c>
      <c r="T35" s="5">
        <v>35</v>
      </c>
      <c r="U35" s="5">
        <v>50</v>
      </c>
      <c r="V35" s="5">
        <v>50</v>
      </c>
      <c r="W35" s="5">
        <v>50</v>
      </c>
      <c r="X35" s="5">
        <v>50</v>
      </c>
      <c r="Y35" s="5">
        <v>50</v>
      </c>
      <c r="Z35" s="5">
        <v>25</v>
      </c>
      <c r="AA35" s="5">
        <v>29</v>
      </c>
      <c r="AF35" s="7">
        <f t="shared" si="0"/>
        <v>444</v>
      </c>
    </row>
    <row r="36" spans="1:32" ht="15" customHeight="1" x14ac:dyDescent="0.25">
      <c r="A36" t="str">
        <f>IFERROR(_xlfn.XLOOKUP(--F36,[1]imagenes!$D:$D,[1]imagenes!$A:$A),"")</f>
        <v/>
      </c>
      <c r="B36" s="2" t="s">
        <v>32</v>
      </c>
      <c r="C36" s="2" t="s">
        <v>33</v>
      </c>
      <c r="D36" s="2" t="s">
        <v>134</v>
      </c>
      <c r="E36" s="2" t="s">
        <v>135</v>
      </c>
      <c r="F36" s="2" t="s">
        <v>144</v>
      </c>
      <c r="G36" s="2" t="s">
        <v>145</v>
      </c>
      <c r="H36" s="2" t="s">
        <v>146</v>
      </c>
      <c r="I36" s="3">
        <v>24</v>
      </c>
      <c r="J36" s="4">
        <v>95</v>
      </c>
      <c r="Q36" s="5">
        <v>10</v>
      </c>
      <c r="R36" s="5">
        <v>33</v>
      </c>
      <c r="S36" s="5">
        <v>47</v>
      </c>
      <c r="T36" s="5">
        <v>43</v>
      </c>
      <c r="U36" s="5">
        <v>50</v>
      </c>
      <c r="V36" s="5">
        <v>50</v>
      </c>
      <c r="W36" s="5">
        <v>50</v>
      </c>
      <c r="X36" s="5">
        <v>42</v>
      </c>
      <c r="Y36" s="5">
        <v>34</v>
      </c>
      <c r="AA36" s="5">
        <v>16</v>
      </c>
      <c r="AF36" s="7">
        <f t="shared" si="0"/>
        <v>375</v>
      </c>
    </row>
    <row r="37" spans="1:32" ht="15" customHeight="1" x14ac:dyDescent="0.25">
      <c r="A37" t="str">
        <f>IFERROR(_xlfn.XLOOKUP(--F37,[1]imagenes!$D:$D,[1]imagenes!$A:$A),"")</f>
        <v/>
      </c>
      <c r="B37" s="2" t="s">
        <v>32</v>
      </c>
      <c r="C37" s="2" t="s">
        <v>33</v>
      </c>
      <c r="D37" s="2" t="s">
        <v>134</v>
      </c>
      <c r="E37" s="2" t="s">
        <v>135</v>
      </c>
      <c r="F37" s="2" t="s">
        <v>147</v>
      </c>
      <c r="G37" s="2" t="s">
        <v>148</v>
      </c>
      <c r="H37" s="2" t="s">
        <v>149</v>
      </c>
      <c r="I37" s="3">
        <v>24</v>
      </c>
      <c r="J37" s="4">
        <v>95</v>
      </c>
      <c r="O37" s="5">
        <v>38</v>
      </c>
      <c r="P37" s="5">
        <v>28</v>
      </c>
      <c r="Q37" s="5">
        <v>50</v>
      </c>
      <c r="R37" s="5">
        <v>50</v>
      </c>
      <c r="S37" s="5">
        <v>50</v>
      </c>
      <c r="T37" s="5">
        <v>50</v>
      </c>
      <c r="U37" s="5">
        <v>50</v>
      </c>
      <c r="V37" s="5">
        <v>50</v>
      </c>
      <c r="W37" s="5">
        <v>50</v>
      </c>
      <c r="X37" s="5">
        <v>50</v>
      </c>
      <c r="Y37" s="5">
        <v>50</v>
      </c>
      <c r="Z37" s="5">
        <v>37</v>
      </c>
      <c r="AA37" s="5">
        <v>50</v>
      </c>
      <c r="AF37" s="7">
        <f t="shared" si="0"/>
        <v>603</v>
      </c>
    </row>
    <row r="38" spans="1:32" ht="15" customHeight="1" x14ac:dyDescent="0.25">
      <c r="A38" t="str">
        <f>IFERROR(_xlfn.XLOOKUP(--F38,[1]imagenes!$D:$D,[1]imagenes!$A:$A),"")</f>
        <v/>
      </c>
      <c r="B38" s="2" t="s">
        <v>32</v>
      </c>
      <c r="C38" s="2" t="s">
        <v>33</v>
      </c>
      <c r="D38" s="2" t="s">
        <v>134</v>
      </c>
      <c r="E38" s="2" t="s">
        <v>150</v>
      </c>
      <c r="F38" s="2" t="s">
        <v>151</v>
      </c>
      <c r="G38" s="2" t="s">
        <v>152</v>
      </c>
      <c r="H38" s="2" t="s">
        <v>140</v>
      </c>
      <c r="I38" s="3">
        <v>24</v>
      </c>
      <c r="J38" s="4">
        <v>95</v>
      </c>
      <c r="AE38" s="6">
        <v>643</v>
      </c>
      <c r="AF38" s="7">
        <f t="shared" si="0"/>
        <v>0</v>
      </c>
    </row>
    <row r="39" spans="1:32" ht="15" customHeight="1" x14ac:dyDescent="0.25">
      <c r="A39" t="str">
        <f>IFERROR(_xlfn.XLOOKUP(--F39,[1]imagenes!$D:$D,[1]imagenes!$A:$A),"")</f>
        <v/>
      </c>
      <c r="B39" s="2" t="s">
        <v>32</v>
      </c>
      <c r="C39" s="2" t="s">
        <v>33</v>
      </c>
      <c r="D39" s="2" t="s">
        <v>134</v>
      </c>
      <c r="E39" s="2" t="s">
        <v>150</v>
      </c>
      <c r="F39" s="2" t="s">
        <v>153</v>
      </c>
      <c r="G39" s="2" t="s">
        <v>154</v>
      </c>
      <c r="H39" s="2" t="s">
        <v>113</v>
      </c>
      <c r="I39" s="3">
        <v>24</v>
      </c>
      <c r="J39" s="4">
        <v>95</v>
      </c>
      <c r="AE39" s="6">
        <v>571</v>
      </c>
      <c r="AF39" s="7">
        <f t="shared" si="0"/>
        <v>0</v>
      </c>
    </row>
    <row r="40" spans="1:32" ht="15" customHeight="1" x14ac:dyDescent="0.25">
      <c r="A40" t="str">
        <f>IFERROR(_xlfn.XLOOKUP(--F40,[1]imagenes!$D:$D,[1]imagenes!$A:$A),"")</f>
        <v/>
      </c>
      <c r="B40" s="2" t="s">
        <v>32</v>
      </c>
      <c r="C40" s="2" t="s">
        <v>33</v>
      </c>
      <c r="D40" s="2" t="s">
        <v>134</v>
      </c>
      <c r="E40" s="2" t="s">
        <v>150</v>
      </c>
      <c r="F40" s="2" t="s">
        <v>155</v>
      </c>
      <c r="G40" s="2" t="s">
        <v>156</v>
      </c>
      <c r="H40" s="2" t="s">
        <v>149</v>
      </c>
      <c r="I40" s="3">
        <v>24</v>
      </c>
      <c r="J40" s="4">
        <v>95</v>
      </c>
      <c r="AE40" s="6">
        <v>585</v>
      </c>
      <c r="AF40" s="7">
        <f t="shared" si="0"/>
        <v>0</v>
      </c>
    </row>
    <row r="41" spans="1:32" ht="15" customHeight="1" x14ac:dyDescent="0.25">
      <c r="A41" t="str">
        <f>IFERROR(_xlfn.XLOOKUP(--F41,[1]imagenes!$D:$D,[1]imagenes!$A:$A),"")</f>
        <v/>
      </c>
      <c r="B41" s="2" t="s">
        <v>32</v>
      </c>
      <c r="C41" s="2" t="s">
        <v>33</v>
      </c>
      <c r="D41" s="2" t="s">
        <v>134</v>
      </c>
      <c r="E41" s="2" t="s">
        <v>157</v>
      </c>
      <c r="F41" s="2" t="s">
        <v>158</v>
      </c>
      <c r="G41" s="2" t="s">
        <v>159</v>
      </c>
      <c r="H41" s="2" t="s">
        <v>160</v>
      </c>
      <c r="I41" s="3">
        <v>26</v>
      </c>
      <c r="J41" s="4">
        <v>115</v>
      </c>
      <c r="Q41" s="5">
        <v>33</v>
      </c>
      <c r="R41" s="5">
        <v>44</v>
      </c>
      <c r="S41" s="5">
        <v>50</v>
      </c>
      <c r="T41" s="5">
        <v>50</v>
      </c>
      <c r="U41" s="5">
        <v>50</v>
      </c>
      <c r="V41" s="5">
        <v>50</v>
      </c>
      <c r="W41" s="5">
        <v>50</v>
      </c>
      <c r="X41" s="5">
        <v>50</v>
      </c>
      <c r="Y41" s="5">
        <v>50</v>
      </c>
      <c r="Z41" s="5">
        <v>31</v>
      </c>
      <c r="AA41" s="5">
        <v>39</v>
      </c>
      <c r="AF41" s="7">
        <f t="shared" si="0"/>
        <v>497</v>
      </c>
    </row>
    <row r="42" spans="1:32" ht="15" customHeight="1" x14ac:dyDescent="0.25">
      <c r="A42" t="str">
        <f>IFERROR(_xlfn.XLOOKUP(--F42,[1]imagenes!$D:$D,[1]imagenes!$A:$A),"")</f>
        <v/>
      </c>
      <c r="B42" s="2" t="s">
        <v>32</v>
      </c>
      <c r="C42" s="2" t="s">
        <v>33</v>
      </c>
      <c r="D42" s="2" t="s">
        <v>134</v>
      </c>
      <c r="E42" s="2" t="s">
        <v>157</v>
      </c>
      <c r="F42" s="2" t="s">
        <v>161</v>
      </c>
      <c r="G42" s="2" t="s">
        <v>162</v>
      </c>
      <c r="H42" s="2" t="s">
        <v>69</v>
      </c>
      <c r="I42" s="3">
        <v>26</v>
      </c>
      <c r="J42" s="4">
        <v>115</v>
      </c>
      <c r="Q42" s="5">
        <v>36</v>
      </c>
      <c r="R42" s="5">
        <v>38</v>
      </c>
      <c r="S42" s="5">
        <v>50</v>
      </c>
      <c r="T42" s="5">
        <v>50</v>
      </c>
      <c r="U42" s="5">
        <v>50</v>
      </c>
      <c r="V42" s="5">
        <v>50</v>
      </c>
      <c r="W42" s="5">
        <v>50</v>
      </c>
      <c r="X42" s="5">
        <v>50</v>
      </c>
      <c r="Y42" s="5">
        <v>50</v>
      </c>
      <c r="Z42" s="5">
        <v>18</v>
      </c>
      <c r="AA42" s="5">
        <v>26</v>
      </c>
      <c r="AF42" s="7">
        <f t="shared" si="0"/>
        <v>468</v>
      </c>
    </row>
    <row r="43" spans="1:32" ht="15" customHeight="1" x14ac:dyDescent="0.25">
      <c r="A43" t="str">
        <f>IFERROR(_xlfn.XLOOKUP(--F43,[1]imagenes!$D:$D,[1]imagenes!$A:$A),"")</f>
        <v/>
      </c>
      <c r="B43" s="2" t="s">
        <v>32</v>
      </c>
      <c r="C43" s="2" t="s">
        <v>33</v>
      </c>
      <c r="D43" s="2" t="s">
        <v>134</v>
      </c>
      <c r="E43" s="2" t="s">
        <v>157</v>
      </c>
      <c r="F43" s="2" t="s">
        <v>163</v>
      </c>
      <c r="G43" s="2" t="s">
        <v>164</v>
      </c>
      <c r="H43" s="2" t="s">
        <v>165</v>
      </c>
      <c r="I43" s="3">
        <v>26</v>
      </c>
      <c r="J43" s="4">
        <v>115</v>
      </c>
      <c r="O43" s="5">
        <v>11</v>
      </c>
      <c r="P43" s="5">
        <v>11</v>
      </c>
      <c r="Q43" s="5">
        <v>50</v>
      </c>
      <c r="R43" s="5">
        <v>50</v>
      </c>
      <c r="S43" s="5">
        <v>50</v>
      </c>
      <c r="T43" s="5">
        <v>50</v>
      </c>
      <c r="U43" s="5">
        <v>50</v>
      </c>
      <c r="V43" s="5">
        <v>50</v>
      </c>
      <c r="W43" s="5">
        <v>50</v>
      </c>
      <c r="X43" s="5">
        <v>50</v>
      </c>
      <c r="Y43" s="5">
        <v>50</v>
      </c>
      <c r="Z43" s="5">
        <v>50</v>
      </c>
      <c r="AA43" s="5">
        <v>50</v>
      </c>
      <c r="AF43" s="7">
        <f t="shared" si="0"/>
        <v>572</v>
      </c>
    </row>
    <row r="44" spans="1:32" ht="15" customHeight="1" x14ac:dyDescent="0.25">
      <c r="A44" t="str">
        <f>IFERROR(_xlfn.XLOOKUP(--F44,[1]imagenes!$D:$D,[1]imagenes!$A:$A),"")</f>
        <v/>
      </c>
      <c r="B44" s="2" t="s">
        <v>32</v>
      </c>
      <c r="C44" s="2" t="s">
        <v>33</v>
      </c>
      <c r="D44" s="2" t="s">
        <v>134</v>
      </c>
      <c r="E44" s="2" t="s">
        <v>166</v>
      </c>
      <c r="F44" s="2" t="s">
        <v>167</v>
      </c>
      <c r="G44" s="2" t="s">
        <v>168</v>
      </c>
      <c r="H44" s="2" t="s">
        <v>113</v>
      </c>
      <c r="I44" s="3">
        <v>62</v>
      </c>
      <c r="J44" s="4">
        <v>200</v>
      </c>
      <c r="O44" s="5">
        <v>10</v>
      </c>
      <c r="Q44" s="5">
        <v>27</v>
      </c>
      <c r="R44" s="5">
        <v>39</v>
      </c>
      <c r="S44" s="5">
        <v>49</v>
      </c>
      <c r="T44" s="5">
        <v>50</v>
      </c>
      <c r="U44" s="5">
        <v>50</v>
      </c>
      <c r="V44" s="5">
        <v>50</v>
      </c>
      <c r="W44" s="5">
        <v>50</v>
      </c>
      <c r="X44" s="5">
        <v>50</v>
      </c>
      <c r="Y44" s="5">
        <v>50</v>
      </c>
      <c r="Z44" s="5">
        <v>13</v>
      </c>
      <c r="AA44" s="5">
        <v>27</v>
      </c>
      <c r="AF44" s="7">
        <f t="shared" si="0"/>
        <v>465</v>
      </c>
    </row>
    <row r="45" spans="1:32" ht="15" customHeight="1" x14ac:dyDescent="0.25">
      <c r="A45" t="str">
        <f>IFERROR(_xlfn.XLOOKUP(--F45,[1]imagenes!$D:$D,[1]imagenes!$A:$A),"")</f>
        <v/>
      </c>
      <c r="B45" s="2" t="s">
        <v>32</v>
      </c>
      <c r="C45" s="2" t="s">
        <v>33</v>
      </c>
      <c r="D45" s="2" t="s">
        <v>134</v>
      </c>
      <c r="E45" s="2" t="s">
        <v>166</v>
      </c>
      <c r="F45" s="2" t="s">
        <v>169</v>
      </c>
      <c r="G45" s="2" t="s">
        <v>170</v>
      </c>
      <c r="H45" s="2" t="s">
        <v>171</v>
      </c>
      <c r="I45" s="3">
        <v>62</v>
      </c>
      <c r="J45" s="4">
        <v>200</v>
      </c>
      <c r="O45" s="5">
        <v>7</v>
      </c>
      <c r="P45" s="5">
        <v>7</v>
      </c>
      <c r="Q45" s="5">
        <v>24</v>
      </c>
      <c r="R45" s="5">
        <v>26</v>
      </c>
      <c r="S45" s="5">
        <v>38</v>
      </c>
      <c r="T45" s="5">
        <v>38</v>
      </c>
      <c r="U45" s="5">
        <v>50</v>
      </c>
      <c r="V45" s="5">
        <v>44</v>
      </c>
      <c r="W45" s="5">
        <v>47</v>
      </c>
      <c r="X45" s="5">
        <v>35</v>
      </c>
      <c r="Y45" s="5">
        <v>44</v>
      </c>
      <c r="Z45" s="5">
        <v>15</v>
      </c>
      <c r="AA45" s="5">
        <v>31</v>
      </c>
      <c r="AF45" s="7">
        <f t="shared" si="0"/>
        <v>406</v>
      </c>
    </row>
    <row r="46" spans="1:32" ht="15" customHeight="1" x14ac:dyDescent="0.25">
      <c r="A46" t="str">
        <f>IFERROR(_xlfn.XLOOKUP(--F46,[1]imagenes!$D:$D,[1]imagenes!$A:$A),"")</f>
        <v/>
      </c>
      <c r="B46" s="2" t="s">
        <v>32</v>
      </c>
      <c r="C46" s="2" t="s">
        <v>33</v>
      </c>
      <c r="D46" s="2" t="s">
        <v>134</v>
      </c>
      <c r="E46" s="2" t="s">
        <v>172</v>
      </c>
      <c r="F46" s="2" t="s">
        <v>173</v>
      </c>
      <c r="G46" s="2" t="s">
        <v>174</v>
      </c>
      <c r="H46" s="2" t="s">
        <v>69</v>
      </c>
      <c r="I46" s="3">
        <v>55.5</v>
      </c>
      <c r="J46" s="4">
        <v>185</v>
      </c>
      <c r="Q46" s="5">
        <v>26</v>
      </c>
      <c r="R46" s="5">
        <v>35</v>
      </c>
      <c r="S46" s="5">
        <v>50</v>
      </c>
      <c r="T46" s="5">
        <v>49</v>
      </c>
      <c r="U46" s="5">
        <v>50</v>
      </c>
      <c r="V46" s="5">
        <v>50</v>
      </c>
      <c r="W46" s="5">
        <v>50</v>
      </c>
      <c r="X46" s="5">
        <v>50</v>
      </c>
      <c r="Y46" s="5">
        <v>50</v>
      </c>
      <c r="Z46" s="5">
        <v>32</v>
      </c>
      <c r="AA46" s="5">
        <v>27</v>
      </c>
      <c r="AF46" s="7">
        <f t="shared" si="0"/>
        <v>469</v>
      </c>
    </row>
    <row r="47" spans="1:32" ht="15" customHeight="1" x14ac:dyDescent="0.25">
      <c r="A47" t="str">
        <f>IFERROR(_xlfn.XLOOKUP(--F47,[1]imagenes!$D:$D,[1]imagenes!$A:$A),"")</f>
        <v/>
      </c>
      <c r="B47" s="2" t="s">
        <v>32</v>
      </c>
      <c r="C47" s="2" t="s">
        <v>33</v>
      </c>
      <c r="D47" s="2" t="s">
        <v>134</v>
      </c>
      <c r="E47" s="2" t="s">
        <v>172</v>
      </c>
      <c r="F47" s="2" t="s">
        <v>175</v>
      </c>
      <c r="G47" s="2" t="s">
        <v>176</v>
      </c>
      <c r="H47" s="2" t="s">
        <v>177</v>
      </c>
      <c r="I47" s="3">
        <v>55.5</v>
      </c>
      <c r="J47" s="4">
        <v>185</v>
      </c>
      <c r="Q47" s="5">
        <v>30</v>
      </c>
      <c r="R47" s="5">
        <v>42</v>
      </c>
      <c r="S47" s="5">
        <v>50</v>
      </c>
      <c r="T47" s="5">
        <v>50</v>
      </c>
      <c r="U47" s="5">
        <v>50</v>
      </c>
      <c r="V47" s="5">
        <v>50</v>
      </c>
      <c r="W47" s="5">
        <v>50</v>
      </c>
      <c r="X47" s="5">
        <v>50</v>
      </c>
      <c r="Y47" s="5">
        <v>50</v>
      </c>
      <c r="Z47" s="5">
        <v>24</v>
      </c>
      <c r="AA47" s="5">
        <v>34</v>
      </c>
      <c r="AF47" s="7">
        <f t="shared" si="0"/>
        <v>480</v>
      </c>
    </row>
    <row r="48" spans="1:32" ht="15" customHeight="1" x14ac:dyDescent="0.25">
      <c r="A48" t="str">
        <f>IFERROR(_xlfn.XLOOKUP(--F48,[1]imagenes!$D:$D,[1]imagenes!$A:$A),"")</f>
        <v/>
      </c>
      <c r="B48" s="2" t="s">
        <v>32</v>
      </c>
      <c r="C48" s="2" t="s">
        <v>33</v>
      </c>
      <c r="D48" s="2" t="s">
        <v>134</v>
      </c>
      <c r="E48" s="2" t="s">
        <v>172</v>
      </c>
      <c r="F48" s="2" t="s">
        <v>178</v>
      </c>
      <c r="G48" s="2" t="s">
        <v>179</v>
      </c>
      <c r="H48" s="2" t="s">
        <v>106</v>
      </c>
      <c r="I48" s="3">
        <v>55.5</v>
      </c>
      <c r="J48" s="4">
        <v>185</v>
      </c>
      <c r="Q48" s="5">
        <v>25</v>
      </c>
      <c r="R48" s="5">
        <v>28</v>
      </c>
      <c r="S48" s="5">
        <v>25</v>
      </c>
      <c r="U48" s="5">
        <v>41</v>
      </c>
      <c r="V48" s="5">
        <v>28</v>
      </c>
      <c r="W48" s="5">
        <v>29</v>
      </c>
      <c r="X48" s="5">
        <v>18</v>
      </c>
      <c r="Y48" s="5">
        <v>29</v>
      </c>
      <c r="Z48" s="5">
        <v>9</v>
      </c>
      <c r="AA48" s="5">
        <v>17</v>
      </c>
      <c r="AF48" s="7">
        <f t="shared" si="0"/>
        <v>249</v>
      </c>
    </row>
    <row r="49" spans="1:32" ht="15" customHeight="1" x14ac:dyDescent="0.25">
      <c r="A49" t="str">
        <f>IFERROR(_xlfn.XLOOKUP(--F49,[1]imagenes!$D:$D,[1]imagenes!$A:$A),"")</f>
        <v/>
      </c>
      <c r="B49" s="2" t="s">
        <v>32</v>
      </c>
      <c r="C49" s="2" t="s">
        <v>33</v>
      </c>
      <c r="D49" s="2" t="s">
        <v>134</v>
      </c>
      <c r="E49" s="2" t="s">
        <v>39</v>
      </c>
      <c r="F49" s="2" t="s">
        <v>180</v>
      </c>
      <c r="G49" s="2" t="s">
        <v>181</v>
      </c>
      <c r="H49" s="2" t="s">
        <v>42</v>
      </c>
      <c r="I49" s="3">
        <v>30.5</v>
      </c>
      <c r="J49" s="4">
        <v>115</v>
      </c>
      <c r="Q49" s="5">
        <v>15</v>
      </c>
      <c r="R49" s="5">
        <v>28</v>
      </c>
      <c r="S49" s="5">
        <v>43</v>
      </c>
      <c r="T49" s="5">
        <v>50</v>
      </c>
      <c r="U49" s="5">
        <v>47</v>
      </c>
      <c r="V49" s="5">
        <v>50</v>
      </c>
      <c r="W49" s="5">
        <v>50</v>
      </c>
      <c r="X49" s="5">
        <v>50</v>
      </c>
      <c r="Y49" s="5">
        <v>41</v>
      </c>
      <c r="Z49" s="5">
        <v>18</v>
      </c>
      <c r="AA49" s="5">
        <v>21</v>
      </c>
      <c r="AF49" s="7">
        <f t="shared" si="0"/>
        <v>413</v>
      </c>
    </row>
    <row r="50" spans="1:32" ht="15" customHeight="1" x14ac:dyDescent="0.25">
      <c r="A50" t="str">
        <f>IFERROR(_xlfn.XLOOKUP(--F50,[1]imagenes!$D:$D,[1]imagenes!$A:$A),"")</f>
        <v/>
      </c>
      <c r="B50" s="2" t="s">
        <v>32</v>
      </c>
      <c r="C50" s="2" t="s">
        <v>33</v>
      </c>
      <c r="D50" s="2" t="s">
        <v>134</v>
      </c>
      <c r="E50" s="2" t="s">
        <v>39</v>
      </c>
      <c r="F50" s="2" t="s">
        <v>182</v>
      </c>
      <c r="G50" s="2" t="s">
        <v>183</v>
      </c>
      <c r="H50" s="2" t="s">
        <v>184</v>
      </c>
      <c r="I50" s="3">
        <v>30.5</v>
      </c>
      <c r="J50" s="4">
        <v>115</v>
      </c>
      <c r="R50" s="5">
        <v>23</v>
      </c>
      <c r="S50" s="5">
        <v>37</v>
      </c>
      <c r="T50" s="5">
        <v>48</v>
      </c>
      <c r="U50" s="5">
        <v>45</v>
      </c>
      <c r="V50" s="5">
        <v>50</v>
      </c>
      <c r="W50" s="5">
        <v>50</v>
      </c>
      <c r="X50" s="5">
        <v>48</v>
      </c>
      <c r="Y50" s="5">
        <v>50</v>
      </c>
      <c r="Z50" s="5">
        <v>24</v>
      </c>
      <c r="AA50" s="5">
        <v>29</v>
      </c>
      <c r="AF50" s="7">
        <f t="shared" si="0"/>
        <v>404</v>
      </c>
    </row>
    <row r="51" spans="1:32" ht="15" customHeight="1" x14ac:dyDescent="0.25">
      <c r="A51" t="str">
        <f>IFERROR(_xlfn.XLOOKUP(--F51,[1]imagenes!$D:$D,[1]imagenes!$A:$A),"")</f>
        <v/>
      </c>
      <c r="B51" s="2" t="s">
        <v>32</v>
      </c>
      <c r="C51" s="2" t="s">
        <v>33</v>
      </c>
      <c r="D51" s="2" t="s">
        <v>134</v>
      </c>
      <c r="E51" s="2" t="s">
        <v>46</v>
      </c>
      <c r="F51" s="2" t="s">
        <v>185</v>
      </c>
      <c r="G51" s="2" t="s">
        <v>186</v>
      </c>
      <c r="H51" s="2" t="s">
        <v>187</v>
      </c>
      <c r="I51" s="3">
        <v>27.5</v>
      </c>
      <c r="J51" s="4">
        <v>110</v>
      </c>
      <c r="Q51" s="5">
        <v>23</v>
      </c>
      <c r="R51" s="5">
        <v>25</v>
      </c>
      <c r="S51" s="5">
        <v>41</v>
      </c>
      <c r="T51" s="5">
        <v>42</v>
      </c>
      <c r="U51" s="5">
        <v>46</v>
      </c>
      <c r="V51" s="5">
        <v>28</v>
      </c>
      <c r="W51" s="5">
        <v>28</v>
      </c>
      <c r="Y51" s="5">
        <v>32</v>
      </c>
      <c r="AF51" s="7">
        <f t="shared" si="0"/>
        <v>265</v>
      </c>
    </row>
    <row r="52" spans="1:32" ht="15" customHeight="1" x14ac:dyDescent="0.25">
      <c r="A52" t="str">
        <f>IFERROR(_xlfn.XLOOKUP(--F52,[1]imagenes!$D:$D,[1]imagenes!$A:$A),"")</f>
        <v/>
      </c>
      <c r="B52" s="2" t="s">
        <v>32</v>
      </c>
      <c r="C52" s="2" t="s">
        <v>33</v>
      </c>
      <c r="D52" s="2" t="s">
        <v>134</v>
      </c>
      <c r="E52" s="2" t="s">
        <v>46</v>
      </c>
      <c r="F52" s="2" t="s">
        <v>188</v>
      </c>
      <c r="G52" s="2" t="s">
        <v>189</v>
      </c>
      <c r="H52" s="2" t="s">
        <v>190</v>
      </c>
      <c r="I52" s="3">
        <v>27.5</v>
      </c>
      <c r="J52" s="4">
        <v>110</v>
      </c>
      <c r="P52" s="5">
        <v>11</v>
      </c>
      <c r="Q52" s="5">
        <v>13</v>
      </c>
      <c r="S52" s="5">
        <v>44</v>
      </c>
      <c r="T52" s="5">
        <v>39</v>
      </c>
      <c r="U52" s="5">
        <v>48</v>
      </c>
      <c r="V52" s="5">
        <v>50</v>
      </c>
      <c r="W52" s="5">
        <v>50</v>
      </c>
      <c r="X52" s="5">
        <v>35</v>
      </c>
      <c r="Y52" s="5">
        <v>50</v>
      </c>
      <c r="Z52" s="5">
        <v>13</v>
      </c>
      <c r="AA52" s="5">
        <v>27</v>
      </c>
      <c r="AF52" s="7">
        <f t="shared" si="0"/>
        <v>380</v>
      </c>
    </row>
    <row r="53" spans="1:32" ht="15" customHeight="1" x14ac:dyDescent="0.25">
      <c r="A53" t="str">
        <f>IFERROR(_xlfn.XLOOKUP(--F53,[1]imagenes!$D:$D,[1]imagenes!$A:$A),"")</f>
        <v/>
      </c>
      <c r="B53" s="2" t="s">
        <v>32</v>
      </c>
      <c r="C53" s="2" t="s">
        <v>33</v>
      </c>
      <c r="D53" s="2" t="s">
        <v>134</v>
      </c>
      <c r="E53" s="2" t="s">
        <v>46</v>
      </c>
      <c r="F53" s="2" t="s">
        <v>191</v>
      </c>
      <c r="G53" s="2" t="s">
        <v>192</v>
      </c>
      <c r="H53" s="2" t="s">
        <v>193</v>
      </c>
      <c r="I53" s="3">
        <v>27.5</v>
      </c>
      <c r="J53" s="4">
        <v>110</v>
      </c>
      <c r="Q53" s="5">
        <v>17</v>
      </c>
      <c r="R53" s="5">
        <v>11</v>
      </c>
      <c r="S53" s="5">
        <v>50</v>
      </c>
      <c r="T53" s="5">
        <v>50</v>
      </c>
      <c r="U53" s="5">
        <v>50</v>
      </c>
      <c r="V53" s="5">
        <v>50</v>
      </c>
      <c r="W53" s="5">
        <v>37</v>
      </c>
      <c r="X53" s="5">
        <v>50</v>
      </c>
      <c r="Y53" s="5">
        <v>50</v>
      </c>
      <c r="Z53" s="5">
        <v>20</v>
      </c>
      <c r="AA53" s="5">
        <v>21</v>
      </c>
      <c r="AF53" s="7">
        <f t="shared" si="0"/>
        <v>406</v>
      </c>
    </row>
    <row r="54" spans="1:32" ht="15" customHeight="1" x14ac:dyDescent="0.25">
      <c r="A54" t="str">
        <f>IFERROR(_xlfn.XLOOKUP(--F54,[1]imagenes!$D:$D,[1]imagenes!$A:$A),"")</f>
        <v/>
      </c>
      <c r="B54" s="2" t="s">
        <v>32</v>
      </c>
      <c r="C54" s="2" t="s">
        <v>33</v>
      </c>
      <c r="D54" s="2" t="s">
        <v>134</v>
      </c>
      <c r="E54" s="2" t="s">
        <v>46</v>
      </c>
      <c r="F54" s="2" t="s">
        <v>194</v>
      </c>
      <c r="G54" s="2" t="s">
        <v>195</v>
      </c>
      <c r="H54" s="2" t="s">
        <v>196</v>
      </c>
      <c r="I54" s="3">
        <v>27.5</v>
      </c>
      <c r="J54" s="4">
        <v>110</v>
      </c>
      <c r="O54" s="5">
        <v>15</v>
      </c>
      <c r="P54" s="5">
        <v>14</v>
      </c>
      <c r="Q54" s="5">
        <v>23</v>
      </c>
      <c r="R54" s="5">
        <v>28</v>
      </c>
      <c r="S54" s="5">
        <v>49</v>
      </c>
      <c r="T54" s="5">
        <v>40</v>
      </c>
      <c r="U54" s="5">
        <v>50</v>
      </c>
      <c r="V54" s="5">
        <v>19</v>
      </c>
      <c r="W54" s="5">
        <v>37</v>
      </c>
      <c r="X54" s="5">
        <v>32</v>
      </c>
      <c r="Y54" s="5">
        <v>50</v>
      </c>
      <c r="AA54" s="5">
        <v>9</v>
      </c>
      <c r="AF54" s="7">
        <f t="shared" si="0"/>
        <v>366</v>
      </c>
    </row>
    <row r="55" spans="1:32" ht="15" customHeight="1" x14ac:dyDescent="0.25">
      <c r="A55" t="str">
        <f>IFERROR(_xlfn.XLOOKUP(--F55,[1]imagenes!$D:$D,[1]imagenes!$A:$A),"")</f>
        <v/>
      </c>
      <c r="B55" s="2" t="s">
        <v>32</v>
      </c>
      <c r="C55" s="2" t="s">
        <v>33</v>
      </c>
      <c r="D55" s="2" t="s">
        <v>134</v>
      </c>
      <c r="E55" s="2" t="s">
        <v>46</v>
      </c>
      <c r="F55" s="2" t="s">
        <v>197</v>
      </c>
      <c r="G55" s="2" t="s">
        <v>198</v>
      </c>
      <c r="H55" s="2" t="s">
        <v>52</v>
      </c>
      <c r="I55" s="3">
        <v>27.5</v>
      </c>
      <c r="J55" s="4">
        <v>110</v>
      </c>
      <c r="Q55" s="5">
        <v>17</v>
      </c>
      <c r="R55" s="5">
        <v>26</v>
      </c>
      <c r="S55" s="5">
        <v>38</v>
      </c>
      <c r="T55" s="5">
        <v>43</v>
      </c>
      <c r="U55" s="5">
        <v>50</v>
      </c>
      <c r="V55" s="5">
        <v>50</v>
      </c>
      <c r="W55" s="5">
        <v>50</v>
      </c>
      <c r="X55" s="5">
        <v>41</v>
      </c>
      <c r="Y55" s="5">
        <v>39</v>
      </c>
      <c r="Z55" s="5">
        <v>16</v>
      </c>
      <c r="AA55" s="5">
        <v>20</v>
      </c>
      <c r="AF55" s="7">
        <f t="shared" si="0"/>
        <v>390</v>
      </c>
    </row>
    <row r="56" spans="1:32" ht="15" customHeight="1" x14ac:dyDescent="0.25">
      <c r="A56" t="str">
        <f>IFERROR(_xlfn.XLOOKUP(--F56,[1]imagenes!$D:$D,[1]imagenes!$A:$A),"")</f>
        <v/>
      </c>
      <c r="B56" s="2" t="s">
        <v>32</v>
      </c>
      <c r="C56" s="2" t="s">
        <v>33</v>
      </c>
      <c r="D56" s="2" t="s">
        <v>134</v>
      </c>
      <c r="E56" s="2" t="s">
        <v>46</v>
      </c>
      <c r="F56" s="2" t="s">
        <v>199</v>
      </c>
      <c r="G56" s="2" t="s">
        <v>200</v>
      </c>
      <c r="H56" s="2" t="s">
        <v>55</v>
      </c>
      <c r="I56" s="3">
        <v>27.5</v>
      </c>
      <c r="J56" s="4">
        <v>110</v>
      </c>
      <c r="O56" s="5">
        <v>7</v>
      </c>
      <c r="Q56" s="5">
        <v>25</v>
      </c>
      <c r="R56" s="5">
        <v>28</v>
      </c>
      <c r="S56" s="5">
        <v>50</v>
      </c>
      <c r="T56" s="5">
        <v>50</v>
      </c>
      <c r="U56" s="5">
        <v>50</v>
      </c>
      <c r="V56" s="5">
        <v>47</v>
      </c>
      <c r="W56" s="5">
        <v>50</v>
      </c>
      <c r="X56" s="5">
        <v>46</v>
      </c>
      <c r="Y56" s="5">
        <v>46</v>
      </c>
      <c r="Z56" s="5">
        <v>7</v>
      </c>
      <c r="AA56" s="5">
        <v>17</v>
      </c>
      <c r="AF56" s="7">
        <f t="shared" si="0"/>
        <v>423</v>
      </c>
    </row>
    <row r="57" spans="1:32" ht="15" customHeight="1" x14ac:dyDescent="0.25">
      <c r="A57" t="str">
        <f>IFERROR(_xlfn.XLOOKUP(--F57,[1]imagenes!$D:$D,[1]imagenes!$A:$A),"")</f>
        <v/>
      </c>
      <c r="B57" s="2" t="s">
        <v>32</v>
      </c>
      <c r="C57" s="2" t="s">
        <v>33</v>
      </c>
      <c r="D57" s="2" t="s">
        <v>134</v>
      </c>
      <c r="E57" s="2" t="s">
        <v>59</v>
      </c>
      <c r="F57" s="2" t="s">
        <v>201</v>
      </c>
      <c r="G57" s="2" t="s">
        <v>202</v>
      </c>
      <c r="H57" s="2" t="s">
        <v>203</v>
      </c>
      <c r="I57" s="3">
        <v>35.5</v>
      </c>
      <c r="J57" s="4">
        <v>140</v>
      </c>
      <c r="Q57" s="5">
        <v>50</v>
      </c>
      <c r="R57" s="5">
        <v>50</v>
      </c>
      <c r="S57" s="5">
        <v>50</v>
      </c>
      <c r="T57" s="5">
        <v>28</v>
      </c>
      <c r="U57" s="5">
        <v>31</v>
      </c>
      <c r="V57" s="5">
        <v>24</v>
      </c>
      <c r="W57" s="5">
        <v>8</v>
      </c>
      <c r="X57" s="5">
        <v>8</v>
      </c>
      <c r="Y57" s="5">
        <v>9</v>
      </c>
      <c r="AF57" s="7">
        <f t="shared" si="0"/>
        <v>258</v>
      </c>
    </row>
    <row r="58" spans="1:32" ht="15" customHeight="1" x14ac:dyDescent="0.25">
      <c r="A58" t="str">
        <f>IFERROR(_xlfn.XLOOKUP(--F58,[1]imagenes!$D:$D,[1]imagenes!$A:$A),"")</f>
        <v/>
      </c>
      <c r="B58" s="2" t="s">
        <v>32</v>
      </c>
      <c r="C58" s="2" t="s">
        <v>33</v>
      </c>
      <c r="D58" s="2" t="s">
        <v>134</v>
      </c>
      <c r="E58" s="2" t="s">
        <v>59</v>
      </c>
      <c r="F58" s="2" t="s">
        <v>204</v>
      </c>
      <c r="G58" s="2" t="s">
        <v>205</v>
      </c>
      <c r="H58" s="2" t="s">
        <v>206</v>
      </c>
      <c r="I58" s="3">
        <v>35.5</v>
      </c>
      <c r="J58" s="4">
        <v>140</v>
      </c>
      <c r="P58" s="5">
        <v>28</v>
      </c>
      <c r="Q58" s="5">
        <v>27</v>
      </c>
      <c r="T58" s="5">
        <v>26</v>
      </c>
      <c r="U58" s="5">
        <v>40</v>
      </c>
      <c r="V58" s="5">
        <v>31</v>
      </c>
      <c r="W58" s="5">
        <v>26</v>
      </c>
      <c r="X58" s="5">
        <v>38</v>
      </c>
      <c r="Y58" s="5">
        <v>37</v>
      </c>
      <c r="Z58" s="5">
        <v>27</v>
      </c>
      <c r="AA58" s="5">
        <v>32</v>
      </c>
      <c r="AF58" s="7">
        <f t="shared" si="0"/>
        <v>312</v>
      </c>
    </row>
    <row r="59" spans="1:32" ht="15" customHeight="1" x14ac:dyDescent="0.25">
      <c r="A59" t="str">
        <f>IFERROR(_xlfn.XLOOKUP(--F59,[1]imagenes!$D:$D,[1]imagenes!$A:$A),"")</f>
        <v/>
      </c>
      <c r="B59" s="2" t="s">
        <v>32</v>
      </c>
      <c r="C59" s="2" t="s">
        <v>33</v>
      </c>
      <c r="D59" s="2" t="s">
        <v>134</v>
      </c>
      <c r="E59" s="2" t="s">
        <v>59</v>
      </c>
      <c r="F59" s="2" t="s">
        <v>207</v>
      </c>
      <c r="G59" s="2" t="s">
        <v>208</v>
      </c>
      <c r="H59" s="2" t="s">
        <v>209</v>
      </c>
      <c r="I59" s="3">
        <v>35.5</v>
      </c>
      <c r="J59" s="4">
        <v>140</v>
      </c>
      <c r="P59" s="5">
        <v>25</v>
      </c>
      <c r="Q59" s="5">
        <v>50</v>
      </c>
      <c r="R59" s="5">
        <v>50</v>
      </c>
      <c r="S59" s="5">
        <v>50</v>
      </c>
      <c r="T59" s="5">
        <v>50</v>
      </c>
      <c r="U59" s="5">
        <v>50</v>
      </c>
      <c r="V59" s="5">
        <v>30</v>
      </c>
      <c r="W59" s="5">
        <v>29</v>
      </c>
      <c r="X59" s="5">
        <v>30</v>
      </c>
      <c r="Y59" s="5">
        <v>21</v>
      </c>
      <c r="Z59" s="5">
        <v>21</v>
      </c>
      <c r="AA59" s="5">
        <v>27</v>
      </c>
      <c r="AF59" s="7">
        <f t="shared" si="0"/>
        <v>433</v>
      </c>
    </row>
    <row r="60" spans="1:32" ht="15" customHeight="1" x14ac:dyDescent="0.25">
      <c r="A60" t="str">
        <f>IFERROR(_xlfn.XLOOKUP(--F60,[1]imagenes!$D:$D,[1]imagenes!$A:$A),"")</f>
        <v/>
      </c>
      <c r="B60" s="2" t="s">
        <v>32</v>
      </c>
      <c r="C60" s="2" t="s">
        <v>33</v>
      </c>
      <c r="D60" s="2" t="s">
        <v>134</v>
      </c>
      <c r="E60" s="2" t="s">
        <v>59</v>
      </c>
      <c r="F60" s="2" t="s">
        <v>210</v>
      </c>
      <c r="G60" s="2" t="s">
        <v>211</v>
      </c>
      <c r="H60" s="2" t="s">
        <v>212</v>
      </c>
      <c r="I60" s="3">
        <v>35.5</v>
      </c>
      <c r="J60" s="4">
        <v>140</v>
      </c>
      <c r="Q60" s="5">
        <v>25</v>
      </c>
      <c r="R60" s="5">
        <v>32</v>
      </c>
      <c r="S60" s="5">
        <v>37</v>
      </c>
      <c r="T60" s="5">
        <v>43</v>
      </c>
      <c r="U60" s="5">
        <v>50</v>
      </c>
      <c r="V60" s="5">
        <v>42</v>
      </c>
      <c r="W60" s="5">
        <v>42</v>
      </c>
      <c r="X60" s="5">
        <v>33</v>
      </c>
      <c r="Y60" s="5">
        <v>32</v>
      </c>
      <c r="Z60" s="5">
        <v>7</v>
      </c>
      <c r="AA60" s="5">
        <v>17</v>
      </c>
      <c r="AF60" s="7">
        <f t="shared" si="0"/>
        <v>360</v>
      </c>
    </row>
    <row r="61" spans="1:32" ht="15" customHeight="1" x14ac:dyDescent="0.25">
      <c r="A61" t="str">
        <f>IFERROR(_xlfn.XLOOKUP(--F61,[1]imagenes!$D:$D,[1]imagenes!$A:$A),"")</f>
        <v/>
      </c>
      <c r="B61" s="2" t="s">
        <v>32</v>
      </c>
      <c r="C61" s="2" t="s">
        <v>33</v>
      </c>
      <c r="D61" s="2" t="s">
        <v>134</v>
      </c>
      <c r="E61" s="2" t="s">
        <v>59</v>
      </c>
      <c r="F61" s="2" t="s">
        <v>213</v>
      </c>
      <c r="G61" s="2" t="s">
        <v>214</v>
      </c>
      <c r="H61" s="2" t="s">
        <v>215</v>
      </c>
      <c r="I61" s="3">
        <v>35.5</v>
      </c>
      <c r="J61" s="4">
        <v>140</v>
      </c>
      <c r="Q61" s="5">
        <v>50</v>
      </c>
      <c r="R61" s="5">
        <v>46</v>
      </c>
      <c r="S61" s="5">
        <v>32</v>
      </c>
      <c r="T61" s="5">
        <v>29</v>
      </c>
      <c r="X61" s="5">
        <v>32</v>
      </c>
      <c r="Y61" s="5">
        <v>29</v>
      </c>
      <c r="Z61" s="5">
        <v>48</v>
      </c>
      <c r="AF61" s="7">
        <f t="shared" si="0"/>
        <v>266</v>
      </c>
    </row>
    <row r="62" spans="1:32" ht="15" customHeight="1" x14ac:dyDescent="0.25">
      <c r="A62" t="str">
        <f>IFERROR(_xlfn.XLOOKUP(--F62,[1]imagenes!$D:$D,[1]imagenes!$A:$A),"")</f>
        <v/>
      </c>
      <c r="B62" s="2" t="s">
        <v>32</v>
      </c>
      <c r="C62" s="2" t="s">
        <v>33</v>
      </c>
      <c r="D62" s="2" t="s">
        <v>134</v>
      </c>
      <c r="E62" s="2" t="s">
        <v>59</v>
      </c>
      <c r="F62" s="2" t="s">
        <v>216</v>
      </c>
      <c r="G62" s="2" t="s">
        <v>217</v>
      </c>
      <c r="H62" s="2" t="s">
        <v>218</v>
      </c>
      <c r="I62" s="3">
        <v>35.5</v>
      </c>
      <c r="J62" s="4">
        <v>140</v>
      </c>
      <c r="O62" s="5">
        <v>7</v>
      </c>
      <c r="Q62" s="5">
        <v>29</v>
      </c>
      <c r="R62" s="5">
        <v>36</v>
      </c>
      <c r="S62" s="5">
        <v>50</v>
      </c>
      <c r="T62" s="5">
        <v>50</v>
      </c>
      <c r="U62" s="5">
        <v>50</v>
      </c>
      <c r="V62" s="5">
        <v>50</v>
      </c>
      <c r="W62" s="5">
        <v>50</v>
      </c>
      <c r="X62" s="5">
        <v>47</v>
      </c>
      <c r="Y62" s="5">
        <v>41</v>
      </c>
      <c r="Z62" s="5">
        <v>13</v>
      </c>
      <c r="AA62" s="5">
        <v>24</v>
      </c>
      <c r="AF62" s="7">
        <f t="shared" si="0"/>
        <v>447</v>
      </c>
    </row>
    <row r="63" spans="1:32" ht="15" customHeight="1" x14ac:dyDescent="0.25">
      <c r="A63" t="str">
        <f>IFERROR(_xlfn.XLOOKUP(--F63,[1]imagenes!$D:$D,[1]imagenes!$A:$A),"")</f>
        <v/>
      </c>
      <c r="B63" s="2" t="s">
        <v>32</v>
      </c>
      <c r="C63" s="2" t="s">
        <v>33</v>
      </c>
      <c r="D63" s="2" t="s">
        <v>134</v>
      </c>
      <c r="E63" s="2" t="s">
        <v>63</v>
      </c>
      <c r="F63" s="2" t="s">
        <v>219</v>
      </c>
      <c r="G63" s="2" t="s">
        <v>220</v>
      </c>
      <c r="H63" s="2" t="s">
        <v>66</v>
      </c>
      <c r="I63" s="3">
        <v>35</v>
      </c>
      <c r="J63" s="4">
        <v>135</v>
      </c>
      <c r="P63" s="5">
        <v>8</v>
      </c>
      <c r="Q63" s="5">
        <v>13</v>
      </c>
      <c r="R63" s="5">
        <v>21</v>
      </c>
      <c r="S63" s="5">
        <v>31</v>
      </c>
      <c r="T63" s="5">
        <v>33</v>
      </c>
      <c r="U63" s="5">
        <v>50</v>
      </c>
      <c r="V63" s="5">
        <v>50</v>
      </c>
      <c r="W63" s="5">
        <v>50</v>
      </c>
      <c r="X63" s="5">
        <v>50</v>
      </c>
      <c r="Y63" s="5">
        <v>50</v>
      </c>
      <c r="Z63" s="5">
        <v>50</v>
      </c>
      <c r="AA63" s="5">
        <v>50</v>
      </c>
      <c r="AF63" s="7">
        <f t="shared" si="0"/>
        <v>456</v>
      </c>
    </row>
    <row r="64" spans="1:32" ht="15" customHeight="1" x14ac:dyDescent="0.25">
      <c r="A64" t="str">
        <f>IFERROR(_xlfn.XLOOKUP(--F64,[1]imagenes!$D:$D,[1]imagenes!$A:$A),"")</f>
        <v/>
      </c>
      <c r="B64" s="2" t="s">
        <v>32</v>
      </c>
      <c r="C64" s="2" t="s">
        <v>33</v>
      </c>
      <c r="D64" s="2" t="s">
        <v>134</v>
      </c>
      <c r="E64" s="2" t="s">
        <v>63</v>
      </c>
      <c r="F64" s="2" t="s">
        <v>221</v>
      </c>
      <c r="G64" s="2" t="s">
        <v>222</v>
      </c>
      <c r="H64" s="2" t="s">
        <v>69</v>
      </c>
      <c r="I64" s="3">
        <v>35</v>
      </c>
      <c r="J64" s="4">
        <v>135</v>
      </c>
      <c r="P64" s="5">
        <v>7</v>
      </c>
      <c r="Q64" s="5">
        <v>11</v>
      </c>
      <c r="R64" s="5">
        <v>23</v>
      </c>
      <c r="S64" s="5">
        <v>23</v>
      </c>
      <c r="T64" s="5">
        <v>29</v>
      </c>
      <c r="U64" s="5">
        <v>41</v>
      </c>
      <c r="V64" s="5">
        <v>45</v>
      </c>
      <c r="W64" s="5">
        <v>50</v>
      </c>
      <c r="X64" s="5">
        <v>50</v>
      </c>
      <c r="Y64" s="5">
        <v>50</v>
      </c>
      <c r="Z64" s="5">
        <v>47</v>
      </c>
      <c r="AA64" s="5">
        <v>50</v>
      </c>
      <c r="AF64" s="7">
        <f t="shared" si="0"/>
        <v>426</v>
      </c>
    </row>
    <row r="65" spans="1:32" ht="15" customHeight="1" x14ac:dyDescent="0.25">
      <c r="A65" t="str">
        <f>IFERROR(_xlfn.XLOOKUP(--F65,[1]imagenes!$D:$D,[1]imagenes!$A:$A),"")</f>
        <v/>
      </c>
      <c r="B65" s="2" t="s">
        <v>32</v>
      </c>
      <c r="C65" s="2" t="s">
        <v>33</v>
      </c>
      <c r="D65" s="2" t="s">
        <v>134</v>
      </c>
      <c r="E65" s="2" t="s">
        <v>63</v>
      </c>
      <c r="F65" s="2" t="s">
        <v>223</v>
      </c>
      <c r="G65" s="2" t="s">
        <v>224</v>
      </c>
      <c r="H65" s="2" t="s">
        <v>72</v>
      </c>
      <c r="I65" s="3">
        <v>35</v>
      </c>
      <c r="J65" s="4">
        <v>135</v>
      </c>
      <c r="P65" s="5">
        <v>7</v>
      </c>
      <c r="Q65" s="5">
        <v>14</v>
      </c>
      <c r="R65" s="5">
        <v>23</v>
      </c>
      <c r="S65" s="5">
        <v>24</v>
      </c>
      <c r="T65" s="5">
        <v>29</v>
      </c>
      <c r="U65" s="5">
        <v>42</v>
      </c>
      <c r="V65" s="5">
        <v>46</v>
      </c>
      <c r="W65" s="5">
        <v>50</v>
      </c>
      <c r="X65" s="5">
        <v>50</v>
      </c>
      <c r="Y65" s="5">
        <v>50</v>
      </c>
      <c r="Z65" s="5">
        <v>45</v>
      </c>
      <c r="AA65" s="5">
        <v>48</v>
      </c>
      <c r="AF65" s="7">
        <f t="shared" si="0"/>
        <v>428</v>
      </c>
    </row>
    <row r="66" spans="1:32" ht="15" customHeight="1" x14ac:dyDescent="0.25">
      <c r="A66" t="str">
        <f>IFERROR(_xlfn.XLOOKUP(--F66,[1]imagenes!$D:$D,[1]imagenes!$A:$A),"")</f>
        <v/>
      </c>
      <c r="B66" s="2" t="s">
        <v>32</v>
      </c>
      <c r="C66" s="2" t="s">
        <v>33</v>
      </c>
      <c r="D66" s="2" t="s">
        <v>134</v>
      </c>
      <c r="E66" s="2" t="s">
        <v>73</v>
      </c>
      <c r="F66" s="2" t="s">
        <v>225</v>
      </c>
      <c r="G66" s="2" t="s">
        <v>226</v>
      </c>
      <c r="H66" s="2" t="s">
        <v>227</v>
      </c>
      <c r="I66" s="3">
        <v>48</v>
      </c>
      <c r="J66" s="4">
        <v>150</v>
      </c>
      <c r="Q66" s="5">
        <v>32</v>
      </c>
      <c r="R66" s="5">
        <v>32</v>
      </c>
      <c r="S66" s="5">
        <v>21</v>
      </c>
      <c r="U66" s="5">
        <v>50</v>
      </c>
      <c r="W66" s="5">
        <v>8</v>
      </c>
      <c r="X66" s="5">
        <v>50</v>
      </c>
      <c r="Y66" s="5">
        <v>42</v>
      </c>
      <c r="Z66" s="5">
        <v>29</v>
      </c>
      <c r="AA66" s="5">
        <v>50</v>
      </c>
      <c r="AF66" s="7">
        <f t="shared" ref="AF66:AF129" si="1">SUM(K66:AD66)</f>
        <v>314</v>
      </c>
    </row>
    <row r="67" spans="1:32" ht="15" customHeight="1" x14ac:dyDescent="0.25">
      <c r="A67" t="str">
        <f>IFERROR(_xlfn.XLOOKUP(--F67,[1]imagenes!$D:$D,[1]imagenes!$A:$A),"")</f>
        <v/>
      </c>
      <c r="B67" s="2" t="s">
        <v>32</v>
      </c>
      <c r="C67" s="2" t="s">
        <v>33</v>
      </c>
      <c r="D67" s="2" t="s">
        <v>134</v>
      </c>
      <c r="E67" s="2" t="s">
        <v>73</v>
      </c>
      <c r="F67" s="2" t="s">
        <v>228</v>
      </c>
      <c r="G67" s="2" t="s">
        <v>229</v>
      </c>
      <c r="H67" s="2" t="s">
        <v>69</v>
      </c>
      <c r="I67" s="3">
        <v>48</v>
      </c>
      <c r="J67" s="4">
        <v>150</v>
      </c>
      <c r="Q67" s="5">
        <v>25</v>
      </c>
      <c r="R67" s="5">
        <v>21</v>
      </c>
      <c r="S67" s="5">
        <v>33</v>
      </c>
      <c r="T67" s="5">
        <v>33</v>
      </c>
      <c r="U67" s="5">
        <v>27</v>
      </c>
      <c r="V67" s="5">
        <v>28</v>
      </c>
      <c r="W67" s="5">
        <v>26</v>
      </c>
      <c r="X67" s="5">
        <v>26</v>
      </c>
      <c r="Y67" s="5">
        <v>27</v>
      </c>
      <c r="Z67" s="5">
        <v>16</v>
      </c>
      <c r="AA67" s="5">
        <v>23</v>
      </c>
      <c r="AF67" s="7">
        <f t="shared" si="1"/>
        <v>285</v>
      </c>
    </row>
    <row r="68" spans="1:32" ht="15" customHeight="1" x14ac:dyDescent="0.25">
      <c r="A68" t="str">
        <f>IFERROR(_xlfn.XLOOKUP(--F68,[1]imagenes!$D:$D,[1]imagenes!$A:$A),"")</f>
        <v/>
      </c>
      <c r="B68" s="2" t="s">
        <v>32</v>
      </c>
      <c r="C68" s="2" t="s">
        <v>33</v>
      </c>
      <c r="D68" s="2" t="s">
        <v>134</v>
      </c>
      <c r="E68" s="2" t="s">
        <v>73</v>
      </c>
      <c r="F68" s="2" t="s">
        <v>230</v>
      </c>
      <c r="G68" s="2" t="s">
        <v>231</v>
      </c>
      <c r="H68" s="2" t="s">
        <v>232</v>
      </c>
      <c r="I68" s="3">
        <v>48</v>
      </c>
      <c r="J68" s="4">
        <v>150</v>
      </c>
      <c r="Q68" s="5">
        <v>34</v>
      </c>
      <c r="R68" s="5">
        <v>39</v>
      </c>
      <c r="S68" s="5">
        <v>50</v>
      </c>
      <c r="T68" s="5">
        <v>50</v>
      </c>
      <c r="U68" s="5">
        <v>50</v>
      </c>
      <c r="V68" s="5">
        <v>50</v>
      </c>
      <c r="W68" s="5">
        <v>50</v>
      </c>
      <c r="X68" s="5">
        <v>50</v>
      </c>
      <c r="Y68" s="5">
        <v>46</v>
      </c>
      <c r="Z68" s="5">
        <v>19</v>
      </c>
      <c r="AA68" s="5">
        <v>32</v>
      </c>
      <c r="AF68" s="7">
        <f t="shared" si="1"/>
        <v>470</v>
      </c>
    </row>
    <row r="69" spans="1:32" ht="15" customHeight="1" x14ac:dyDescent="0.25">
      <c r="A69" t="str">
        <f>IFERROR(_xlfn.XLOOKUP(--F69,[1]imagenes!$D:$D,[1]imagenes!$A:$A),"")</f>
        <v/>
      </c>
      <c r="B69" s="2" t="s">
        <v>32</v>
      </c>
      <c r="C69" s="2" t="s">
        <v>33</v>
      </c>
      <c r="D69" s="2" t="s">
        <v>134</v>
      </c>
      <c r="E69" s="2" t="s">
        <v>73</v>
      </c>
      <c r="F69" s="2" t="s">
        <v>233</v>
      </c>
      <c r="G69" s="2" t="s">
        <v>234</v>
      </c>
      <c r="H69" s="2" t="s">
        <v>235</v>
      </c>
      <c r="I69" s="3">
        <v>48</v>
      </c>
      <c r="J69" s="4">
        <v>150</v>
      </c>
      <c r="Q69" s="5">
        <v>15</v>
      </c>
      <c r="R69" s="5">
        <v>17</v>
      </c>
      <c r="S69" s="5">
        <v>28</v>
      </c>
      <c r="T69" s="5">
        <v>31</v>
      </c>
      <c r="U69" s="5">
        <v>31</v>
      </c>
      <c r="V69" s="5">
        <v>30</v>
      </c>
      <c r="W69" s="5">
        <v>28</v>
      </c>
      <c r="X69" s="5">
        <v>25</v>
      </c>
      <c r="Y69" s="5">
        <v>25</v>
      </c>
      <c r="Z69" s="5">
        <v>8</v>
      </c>
      <c r="AA69" s="5">
        <v>14</v>
      </c>
      <c r="AF69" s="7">
        <f t="shared" si="1"/>
        <v>252</v>
      </c>
    </row>
    <row r="70" spans="1:32" ht="15" customHeight="1" x14ac:dyDescent="0.25">
      <c r="A70" t="str">
        <f>IFERROR(_xlfn.XLOOKUP(--F70,[1]imagenes!$D:$D,[1]imagenes!$A:$A),"")</f>
        <v/>
      </c>
      <c r="B70" s="2" t="s">
        <v>32</v>
      </c>
      <c r="C70" s="2" t="s">
        <v>33</v>
      </c>
      <c r="D70" s="2" t="s">
        <v>134</v>
      </c>
      <c r="E70" s="2" t="s">
        <v>73</v>
      </c>
      <c r="F70" s="2" t="s">
        <v>236</v>
      </c>
      <c r="G70" s="2" t="s">
        <v>237</v>
      </c>
      <c r="H70" s="2" t="s">
        <v>238</v>
      </c>
      <c r="I70" s="3">
        <v>48</v>
      </c>
      <c r="J70" s="4">
        <v>150</v>
      </c>
      <c r="Q70" s="5">
        <v>29</v>
      </c>
      <c r="R70" s="5">
        <v>31</v>
      </c>
      <c r="S70" s="5">
        <v>39</v>
      </c>
      <c r="T70" s="5">
        <v>47</v>
      </c>
      <c r="U70" s="5">
        <v>50</v>
      </c>
      <c r="V70" s="5">
        <v>50</v>
      </c>
      <c r="W70" s="5">
        <v>50</v>
      </c>
      <c r="X70" s="5">
        <v>37</v>
      </c>
      <c r="Y70" s="5">
        <v>33</v>
      </c>
      <c r="Z70" s="5">
        <v>17</v>
      </c>
      <c r="AA70" s="5">
        <v>31</v>
      </c>
      <c r="AF70" s="7">
        <f t="shared" si="1"/>
        <v>414</v>
      </c>
    </row>
    <row r="71" spans="1:32" ht="15" customHeight="1" x14ac:dyDescent="0.25">
      <c r="A71" t="str">
        <f>IFERROR(_xlfn.XLOOKUP(--F71,[1]imagenes!$D:$D,[1]imagenes!$A:$A),"")</f>
        <v/>
      </c>
      <c r="B71" s="2" t="s">
        <v>32</v>
      </c>
      <c r="C71" s="2" t="s">
        <v>33</v>
      </c>
      <c r="D71" s="2" t="s">
        <v>134</v>
      </c>
      <c r="E71" s="2" t="s">
        <v>73</v>
      </c>
      <c r="F71" s="2" t="s">
        <v>239</v>
      </c>
      <c r="G71" s="2" t="s">
        <v>240</v>
      </c>
      <c r="H71" s="2" t="s">
        <v>241</v>
      </c>
      <c r="I71" s="3">
        <v>48</v>
      </c>
      <c r="J71" s="4">
        <v>150</v>
      </c>
      <c r="Q71" s="5">
        <v>28</v>
      </c>
      <c r="R71" s="5">
        <v>33</v>
      </c>
      <c r="S71" s="5">
        <v>46</v>
      </c>
      <c r="T71" s="5">
        <v>50</v>
      </c>
      <c r="U71" s="5">
        <v>50</v>
      </c>
      <c r="V71" s="5">
        <v>50</v>
      </c>
      <c r="W71" s="5">
        <v>50</v>
      </c>
      <c r="X71" s="5">
        <v>50</v>
      </c>
      <c r="Y71" s="5">
        <v>50</v>
      </c>
      <c r="Z71" s="5">
        <v>17</v>
      </c>
      <c r="AA71" s="5">
        <v>31</v>
      </c>
      <c r="AF71" s="7">
        <f t="shared" si="1"/>
        <v>455</v>
      </c>
    </row>
    <row r="72" spans="1:32" ht="15" customHeight="1" x14ac:dyDescent="0.25">
      <c r="A72" t="str">
        <f>IFERROR(_xlfn.XLOOKUP(--F72,[1]imagenes!$D:$D,[1]imagenes!$A:$A),"")</f>
        <v/>
      </c>
      <c r="B72" s="2" t="s">
        <v>32</v>
      </c>
      <c r="C72" s="2" t="s">
        <v>33</v>
      </c>
      <c r="D72" s="2" t="s">
        <v>134</v>
      </c>
      <c r="E72" s="2" t="s">
        <v>73</v>
      </c>
      <c r="F72" s="2" t="s">
        <v>242</v>
      </c>
      <c r="G72" s="2" t="s">
        <v>243</v>
      </c>
      <c r="H72" s="2" t="s">
        <v>140</v>
      </c>
      <c r="I72" s="3">
        <v>48</v>
      </c>
      <c r="J72" s="4">
        <v>150</v>
      </c>
      <c r="Q72" s="5">
        <v>43</v>
      </c>
      <c r="R72" s="5">
        <v>50</v>
      </c>
      <c r="S72" s="5">
        <v>50</v>
      </c>
      <c r="T72" s="5">
        <v>50</v>
      </c>
      <c r="U72" s="5">
        <v>50</v>
      </c>
      <c r="V72" s="5">
        <v>50</v>
      </c>
      <c r="W72" s="5">
        <v>50</v>
      </c>
      <c r="X72" s="5">
        <v>50</v>
      </c>
      <c r="Y72" s="5">
        <v>50</v>
      </c>
      <c r="Z72" s="5">
        <v>31</v>
      </c>
      <c r="AA72" s="5">
        <v>43</v>
      </c>
      <c r="AF72" s="7">
        <f t="shared" si="1"/>
        <v>517</v>
      </c>
    </row>
    <row r="73" spans="1:32" ht="15" customHeight="1" x14ac:dyDescent="0.25">
      <c r="A73" t="str">
        <f>IFERROR(_xlfn.XLOOKUP(--F73,[1]imagenes!$D:$D,[1]imagenes!$A:$A),"")</f>
        <v/>
      </c>
      <c r="B73" s="2" t="s">
        <v>32</v>
      </c>
      <c r="C73" s="2" t="s">
        <v>33</v>
      </c>
      <c r="D73" s="2" t="s">
        <v>134</v>
      </c>
      <c r="E73" s="2" t="s">
        <v>73</v>
      </c>
      <c r="F73" s="2" t="s">
        <v>244</v>
      </c>
      <c r="G73" s="2" t="s">
        <v>245</v>
      </c>
      <c r="H73" s="2" t="s">
        <v>246</v>
      </c>
      <c r="I73" s="3">
        <v>48</v>
      </c>
      <c r="J73" s="4">
        <v>150</v>
      </c>
      <c r="Q73" s="5">
        <v>10</v>
      </c>
      <c r="R73" s="5">
        <v>26</v>
      </c>
      <c r="S73" s="5">
        <v>25</v>
      </c>
      <c r="T73" s="5">
        <v>44</v>
      </c>
      <c r="U73" s="5">
        <v>50</v>
      </c>
      <c r="V73" s="5">
        <v>50</v>
      </c>
      <c r="W73" s="5">
        <v>50</v>
      </c>
      <c r="X73" s="5">
        <v>50</v>
      </c>
      <c r="Y73" s="5">
        <v>49</v>
      </c>
      <c r="Z73" s="5">
        <v>7</v>
      </c>
      <c r="AA73" s="5">
        <v>34</v>
      </c>
      <c r="AF73" s="7">
        <f t="shared" si="1"/>
        <v>395</v>
      </c>
    </row>
    <row r="74" spans="1:32" ht="15" customHeight="1" x14ac:dyDescent="0.25">
      <c r="A74" t="str">
        <f>IFERROR(_xlfn.XLOOKUP(--F74,[1]imagenes!$D:$D,[1]imagenes!$A:$A),"")</f>
        <v/>
      </c>
      <c r="B74" s="2" t="s">
        <v>32</v>
      </c>
      <c r="C74" s="2" t="s">
        <v>33</v>
      </c>
      <c r="D74" s="2" t="s">
        <v>134</v>
      </c>
      <c r="E74" s="2" t="s">
        <v>73</v>
      </c>
      <c r="F74" s="2" t="s">
        <v>247</v>
      </c>
      <c r="G74" s="2" t="s">
        <v>248</v>
      </c>
      <c r="H74" s="2" t="s">
        <v>249</v>
      </c>
      <c r="I74" s="3">
        <v>48</v>
      </c>
      <c r="J74" s="4">
        <v>150</v>
      </c>
      <c r="P74" s="5">
        <v>10</v>
      </c>
      <c r="Q74" s="5">
        <v>7</v>
      </c>
      <c r="R74" s="5">
        <v>16</v>
      </c>
      <c r="T74" s="5">
        <v>50</v>
      </c>
      <c r="U74" s="5">
        <v>50</v>
      </c>
      <c r="V74" s="5">
        <v>50</v>
      </c>
      <c r="W74" s="5">
        <v>50</v>
      </c>
      <c r="X74" s="5">
        <v>50</v>
      </c>
      <c r="Y74" s="5">
        <v>50</v>
      </c>
      <c r="Z74" s="5">
        <v>49</v>
      </c>
      <c r="AA74" s="5">
        <v>50</v>
      </c>
      <c r="AF74" s="7">
        <f t="shared" si="1"/>
        <v>432</v>
      </c>
    </row>
    <row r="75" spans="1:32" ht="15" customHeight="1" x14ac:dyDescent="0.25">
      <c r="A75" t="str">
        <f>IFERROR(_xlfn.XLOOKUP(--F75,[1]imagenes!$D:$D,[1]imagenes!$A:$A),"")</f>
        <v/>
      </c>
      <c r="B75" s="2" t="s">
        <v>32</v>
      </c>
      <c r="C75" s="2" t="s">
        <v>33</v>
      </c>
      <c r="D75" s="2" t="s">
        <v>134</v>
      </c>
      <c r="E75" s="2" t="s">
        <v>89</v>
      </c>
      <c r="F75" s="2" t="s">
        <v>250</v>
      </c>
      <c r="G75" s="2" t="s">
        <v>251</v>
      </c>
      <c r="H75" s="2" t="s">
        <v>252</v>
      </c>
      <c r="I75" s="3">
        <v>52</v>
      </c>
      <c r="J75" s="4">
        <v>165</v>
      </c>
      <c r="O75" s="5">
        <v>18</v>
      </c>
      <c r="P75" s="5">
        <v>21</v>
      </c>
      <c r="Q75" s="5">
        <v>27</v>
      </c>
      <c r="R75" s="5">
        <v>38</v>
      </c>
      <c r="S75" s="5">
        <v>50</v>
      </c>
      <c r="T75" s="5">
        <v>50</v>
      </c>
      <c r="U75" s="5">
        <v>50</v>
      </c>
      <c r="V75" s="5">
        <v>50</v>
      </c>
      <c r="W75" s="5">
        <v>50</v>
      </c>
      <c r="X75" s="5">
        <v>50</v>
      </c>
      <c r="Y75" s="5">
        <v>50</v>
      </c>
      <c r="Z75" s="5">
        <v>30</v>
      </c>
      <c r="AA75" s="5">
        <v>29</v>
      </c>
      <c r="AF75" s="7">
        <f t="shared" si="1"/>
        <v>513</v>
      </c>
    </row>
    <row r="76" spans="1:32" ht="15" customHeight="1" x14ac:dyDescent="0.25">
      <c r="A76" t="str">
        <f>IFERROR(_xlfn.XLOOKUP(--F76,[1]imagenes!$D:$D,[1]imagenes!$A:$A),"")</f>
        <v/>
      </c>
      <c r="B76" s="2" t="s">
        <v>32</v>
      </c>
      <c r="C76" s="2" t="s">
        <v>33</v>
      </c>
      <c r="D76" s="2" t="s">
        <v>134</v>
      </c>
      <c r="E76" s="2" t="s">
        <v>89</v>
      </c>
      <c r="F76" s="2" t="s">
        <v>253</v>
      </c>
      <c r="G76" s="2" t="s">
        <v>254</v>
      </c>
      <c r="H76" s="2" t="s">
        <v>94</v>
      </c>
      <c r="I76" s="3">
        <v>52</v>
      </c>
      <c r="J76" s="4">
        <v>165</v>
      </c>
      <c r="O76" s="5">
        <v>19</v>
      </c>
      <c r="P76" s="5">
        <v>22</v>
      </c>
      <c r="Q76" s="5">
        <v>26</v>
      </c>
      <c r="R76" s="5">
        <v>40</v>
      </c>
      <c r="S76" s="5">
        <v>50</v>
      </c>
      <c r="T76" s="5">
        <v>50</v>
      </c>
      <c r="U76" s="5">
        <v>50</v>
      </c>
      <c r="V76" s="5">
        <v>50</v>
      </c>
      <c r="W76" s="5">
        <v>50</v>
      </c>
      <c r="X76" s="5">
        <v>48</v>
      </c>
      <c r="Y76" s="5">
        <v>50</v>
      </c>
      <c r="Z76" s="5">
        <v>33</v>
      </c>
      <c r="AA76" s="5">
        <v>30</v>
      </c>
      <c r="AF76" s="7">
        <f t="shared" si="1"/>
        <v>518</v>
      </c>
    </row>
    <row r="77" spans="1:32" ht="15" customHeight="1" x14ac:dyDescent="0.25">
      <c r="A77" t="str">
        <f>IFERROR(_xlfn.XLOOKUP(--F77,[1]imagenes!$D:$D,[1]imagenes!$A:$A),"")</f>
        <v/>
      </c>
      <c r="B77" s="2" t="s">
        <v>32</v>
      </c>
      <c r="C77" s="2" t="s">
        <v>33</v>
      </c>
      <c r="D77" s="2" t="s">
        <v>134</v>
      </c>
      <c r="E77" s="2" t="s">
        <v>95</v>
      </c>
      <c r="F77" s="2" t="s">
        <v>255</v>
      </c>
      <c r="G77" s="2" t="s">
        <v>256</v>
      </c>
      <c r="H77" s="2" t="s">
        <v>165</v>
      </c>
      <c r="I77" s="3">
        <v>46.5</v>
      </c>
      <c r="J77" s="4">
        <v>165</v>
      </c>
      <c r="Q77" s="5">
        <v>35</v>
      </c>
      <c r="R77" s="5">
        <v>44</v>
      </c>
      <c r="S77" s="5">
        <v>50</v>
      </c>
      <c r="T77" s="5">
        <v>50</v>
      </c>
      <c r="U77" s="5">
        <v>50</v>
      </c>
      <c r="V77" s="5">
        <v>50</v>
      </c>
      <c r="W77" s="5">
        <v>50</v>
      </c>
      <c r="X77" s="5">
        <v>50</v>
      </c>
      <c r="Y77" s="5">
        <v>50</v>
      </c>
      <c r="Z77" s="5">
        <v>29</v>
      </c>
      <c r="AA77" s="5">
        <v>50</v>
      </c>
      <c r="AF77" s="7">
        <f t="shared" si="1"/>
        <v>508</v>
      </c>
    </row>
    <row r="78" spans="1:32" ht="15" customHeight="1" x14ac:dyDescent="0.25">
      <c r="A78" t="str">
        <f>IFERROR(_xlfn.XLOOKUP(--F78,[1]imagenes!$D:$D,[1]imagenes!$A:$A),"")</f>
        <v/>
      </c>
      <c r="B78" s="2" t="s">
        <v>32</v>
      </c>
      <c r="C78" s="2" t="s">
        <v>33</v>
      </c>
      <c r="D78" s="2" t="s">
        <v>134</v>
      </c>
      <c r="E78" s="2" t="s">
        <v>95</v>
      </c>
      <c r="F78" s="2" t="s">
        <v>257</v>
      </c>
      <c r="G78" s="2" t="s">
        <v>258</v>
      </c>
      <c r="H78" s="2" t="s">
        <v>259</v>
      </c>
      <c r="I78" s="3">
        <v>46.5</v>
      </c>
      <c r="J78" s="4">
        <v>165</v>
      </c>
      <c r="P78" s="5">
        <v>7</v>
      </c>
      <c r="Q78" s="5">
        <v>32</v>
      </c>
      <c r="R78" s="5">
        <v>34</v>
      </c>
      <c r="S78" s="5">
        <v>50</v>
      </c>
      <c r="T78" s="5">
        <v>50</v>
      </c>
      <c r="U78" s="5">
        <v>50</v>
      </c>
      <c r="V78" s="5">
        <v>50</v>
      </c>
      <c r="W78" s="5">
        <v>50</v>
      </c>
      <c r="X78" s="5">
        <v>50</v>
      </c>
      <c r="Y78" s="5">
        <v>50</v>
      </c>
      <c r="Z78" s="5">
        <v>27</v>
      </c>
      <c r="AA78" s="5">
        <v>37</v>
      </c>
      <c r="AF78" s="7">
        <f t="shared" si="1"/>
        <v>487</v>
      </c>
    </row>
    <row r="79" spans="1:32" ht="15" customHeight="1" x14ac:dyDescent="0.25">
      <c r="A79" t="str">
        <f>IFERROR(_xlfn.XLOOKUP(--F79,[1]imagenes!$D:$D,[1]imagenes!$A:$A),"")</f>
        <v/>
      </c>
      <c r="B79" s="2" t="s">
        <v>32</v>
      </c>
      <c r="C79" s="2" t="s">
        <v>33</v>
      </c>
      <c r="D79" s="2" t="s">
        <v>134</v>
      </c>
      <c r="E79" s="2" t="s">
        <v>260</v>
      </c>
      <c r="F79" s="2" t="s">
        <v>261</v>
      </c>
      <c r="G79" s="2" t="s">
        <v>262</v>
      </c>
      <c r="H79" s="2" t="s">
        <v>69</v>
      </c>
      <c r="I79" s="3">
        <v>47</v>
      </c>
      <c r="J79" s="4">
        <v>170</v>
      </c>
      <c r="O79" s="5">
        <v>22</v>
      </c>
      <c r="P79" s="5">
        <v>26</v>
      </c>
      <c r="Q79" s="5">
        <v>31</v>
      </c>
      <c r="R79" s="5">
        <v>25</v>
      </c>
      <c r="S79" s="5">
        <v>26</v>
      </c>
      <c r="T79" s="5">
        <v>26</v>
      </c>
      <c r="U79" s="5">
        <v>50</v>
      </c>
      <c r="V79" s="5">
        <v>42</v>
      </c>
      <c r="W79" s="5">
        <v>50</v>
      </c>
      <c r="X79" s="5">
        <v>44</v>
      </c>
      <c r="Y79" s="5">
        <v>50</v>
      </c>
      <c r="Z79" s="5">
        <v>27</v>
      </c>
      <c r="AA79" s="5">
        <v>34</v>
      </c>
      <c r="AF79" s="7">
        <f t="shared" si="1"/>
        <v>453</v>
      </c>
    </row>
    <row r="80" spans="1:32" ht="15" customHeight="1" x14ac:dyDescent="0.25">
      <c r="A80" t="str">
        <f>IFERROR(_xlfn.XLOOKUP(--F80,[1]imagenes!$D:$D,[1]imagenes!$A:$A),"")</f>
        <v/>
      </c>
      <c r="B80" s="2" t="s">
        <v>32</v>
      </c>
      <c r="C80" s="2" t="s">
        <v>33</v>
      </c>
      <c r="D80" s="2" t="s">
        <v>134</v>
      </c>
      <c r="E80" s="2" t="s">
        <v>260</v>
      </c>
      <c r="F80" s="2" t="s">
        <v>263</v>
      </c>
      <c r="G80" s="2" t="s">
        <v>264</v>
      </c>
      <c r="H80" s="2" t="s">
        <v>265</v>
      </c>
      <c r="I80" s="3">
        <v>47</v>
      </c>
      <c r="J80" s="4">
        <v>170</v>
      </c>
      <c r="O80" s="5">
        <v>7</v>
      </c>
      <c r="P80" s="5">
        <v>7</v>
      </c>
      <c r="Q80" s="5">
        <v>14</v>
      </c>
      <c r="R80" s="5">
        <v>14</v>
      </c>
      <c r="S80" s="5">
        <v>22</v>
      </c>
      <c r="T80" s="5">
        <v>29</v>
      </c>
      <c r="U80" s="5">
        <v>35</v>
      </c>
      <c r="V80" s="5">
        <v>32</v>
      </c>
      <c r="W80" s="5">
        <v>35</v>
      </c>
      <c r="X80" s="5">
        <v>30</v>
      </c>
      <c r="Y80" s="5">
        <v>32</v>
      </c>
      <c r="Z80" s="5">
        <v>33</v>
      </c>
      <c r="AA80" s="5">
        <v>27</v>
      </c>
      <c r="AF80" s="7">
        <f t="shared" si="1"/>
        <v>317</v>
      </c>
    </row>
    <row r="81" spans="1:32" ht="15" customHeight="1" x14ac:dyDescent="0.25">
      <c r="A81" t="str">
        <f>IFERROR(_xlfn.XLOOKUP(--F81,[1]imagenes!$D:$D,[1]imagenes!$A:$A),"")</f>
        <v/>
      </c>
      <c r="B81" s="2" t="s">
        <v>32</v>
      </c>
      <c r="C81" s="2" t="s">
        <v>33</v>
      </c>
      <c r="D81" s="2" t="s">
        <v>134</v>
      </c>
      <c r="E81" s="2" t="s">
        <v>260</v>
      </c>
      <c r="F81" s="2" t="s">
        <v>266</v>
      </c>
      <c r="G81" s="2" t="s">
        <v>267</v>
      </c>
      <c r="H81" s="2" t="s">
        <v>177</v>
      </c>
      <c r="I81" s="3">
        <v>47</v>
      </c>
      <c r="J81" s="4">
        <v>170</v>
      </c>
      <c r="O81" s="5">
        <v>22</v>
      </c>
      <c r="P81" s="5">
        <v>27</v>
      </c>
      <c r="Q81" s="5">
        <v>32</v>
      </c>
      <c r="R81" s="5">
        <v>32</v>
      </c>
      <c r="S81" s="5">
        <v>36</v>
      </c>
      <c r="T81" s="5">
        <v>27</v>
      </c>
      <c r="U81" s="5">
        <v>37</v>
      </c>
      <c r="V81" s="5">
        <v>39</v>
      </c>
      <c r="W81" s="5">
        <v>37</v>
      </c>
      <c r="X81" s="5">
        <v>30</v>
      </c>
      <c r="Y81" s="5">
        <v>32</v>
      </c>
      <c r="Z81" s="5">
        <v>26</v>
      </c>
      <c r="AA81" s="5">
        <v>13</v>
      </c>
      <c r="AF81" s="7">
        <f t="shared" si="1"/>
        <v>390</v>
      </c>
    </row>
    <row r="82" spans="1:32" ht="15" customHeight="1" x14ac:dyDescent="0.25">
      <c r="A82" t="str">
        <f>IFERROR(_xlfn.XLOOKUP(--F82,[1]imagenes!$D:$D,[1]imagenes!$A:$A),"")</f>
        <v/>
      </c>
      <c r="B82" s="2" t="s">
        <v>32</v>
      </c>
      <c r="C82" s="2" t="s">
        <v>33</v>
      </c>
      <c r="D82" s="2" t="s">
        <v>134</v>
      </c>
      <c r="E82" s="2" t="s">
        <v>268</v>
      </c>
      <c r="F82" s="2" t="s">
        <v>269</v>
      </c>
      <c r="G82" s="2" t="s">
        <v>270</v>
      </c>
      <c r="H82" s="2" t="s">
        <v>271</v>
      </c>
      <c r="I82" s="3">
        <v>45</v>
      </c>
      <c r="J82" s="4">
        <v>165</v>
      </c>
      <c r="Q82" s="5">
        <v>21</v>
      </c>
      <c r="R82" s="5">
        <v>30</v>
      </c>
      <c r="S82" s="5">
        <v>50</v>
      </c>
      <c r="T82" s="5">
        <v>50</v>
      </c>
      <c r="U82" s="5">
        <v>50</v>
      </c>
      <c r="V82" s="5">
        <v>50</v>
      </c>
      <c r="W82" s="5">
        <v>50</v>
      </c>
      <c r="X82" s="5">
        <v>50</v>
      </c>
      <c r="Y82" s="5">
        <v>50</v>
      </c>
      <c r="Z82" s="5">
        <v>22</v>
      </c>
      <c r="AA82" s="5">
        <v>42</v>
      </c>
      <c r="AF82" s="7">
        <f t="shared" si="1"/>
        <v>465</v>
      </c>
    </row>
    <row r="83" spans="1:32" ht="15" customHeight="1" x14ac:dyDescent="0.25">
      <c r="A83" t="str">
        <f>IFERROR(_xlfn.XLOOKUP(--F83,[1]imagenes!$D:$D,[1]imagenes!$A:$A),"")</f>
        <v/>
      </c>
      <c r="B83" s="2" t="s">
        <v>32</v>
      </c>
      <c r="C83" s="2" t="s">
        <v>33</v>
      </c>
      <c r="D83" s="2" t="s">
        <v>134</v>
      </c>
      <c r="E83" s="2" t="s">
        <v>268</v>
      </c>
      <c r="F83" s="2" t="s">
        <v>272</v>
      </c>
      <c r="G83" s="2" t="s">
        <v>273</v>
      </c>
      <c r="H83" s="2" t="s">
        <v>69</v>
      </c>
      <c r="I83" s="3">
        <v>45</v>
      </c>
      <c r="J83" s="4">
        <v>165</v>
      </c>
      <c r="O83" s="5">
        <v>18</v>
      </c>
      <c r="P83" s="5">
        <v>15</v>
      </c>
      <c r="Q83" s="5">
        <v>27</v>
      </c>
      <c r="R83" s="5">
        <v>43</v>
      </c>
      <c r="S83" s="5">
        <v>50</v>
      </c>
      <c r="T83" s="5">
        <v>50</v>
      </c>
      <c r="U83" s="5">
        <v>50</v>
      </c>
      <c r="V83" s="5">
        <v>50</v>
      </c>
      <c r="W83" s="5">
        <v>50</v>
      </c>
      <c r="X83" s="5">
        <v>50</v>
      </c>
      <c r="Y83" s="5">
        <v>50</v>
      </c>
      <c r="Z83" s="5">
        <v>32</v>
      </c>
      <c r="AA83" s="5">
        <v>42</v>
      </c>
      <c r="AF83" s="7">
        <f t="shared" si="1"/>
        <v>527</v>
      </c>
    </row>
    <row r="84" spans="1:32" ht="15" customHeight="1" x14ac:dyDescent="0.25">
      <c r="A84" t="str">
        <f>IFERROR(_xlfn.XLOOKUP(--F84,[1]imagenes!$D:$D,[1]imagenes!$A:$A),"")</f>
        <v/>
      </c>
      <c r="B84" s="2" t="s">
        <v>32</v>
      </c>
      <c r="C84" s="2" t="s">
        <v>33</v>
      </c>
      <c r="D84" s="2" t="s">
        <v>134</v>
      </c>
      <c r="E84" s="2" t="s">
        <v>100</v>
      </c>
      <c r="F84" s="2" t="s">
        <v>274</v>
      </c>
      <c r="G84" s="2" t="s">
        <v>275</v>
      </c>
      <c r="H84" s="2" t="s">
        <v>103</v>
      </c>
      <c r="I84" s="3">
        <v>33.5</v>
      </c>
      <c r="J84" s="4">
        <v>115</v>
      </c>
      <c r="O84" s="5">
        <v>29</v>
      </c>
      <c r="P84" s="5">
        <v>31</v>
      </c>
      <c r="Q84" s="5">
        <v>50</v>
      </c>
      <c r="R84" s="5">
        <v>50</v>
      </c>
      <c r="S84" s="5">
        <v>50</v>
      </c>
      <c r="T84" s="5">
        <v>50</v>
      </c>
      <c r="U84" s="5">
        <v>50</v>
      </c>
      <c r="V84" s="5">
        <v>50</v>
      </c>
      <c r="W84" s="5">
        <v>50</v>
      </c>
      <c r="X84" s="5">
        <v>50</v>
      </c>
      <c r="Y84" s="5">
        <v>50</v>
      </c>
      <c r="Z84" s="5">
        <v>50</v>
      </c>
      <c r="AA84" s="5">
        <v>50</v>
      </c>
      <c r="AC84" s="5">
        <v>39</v>
      </c>
      <c r="AF84" s="7">
        <f t="shared" si="1"/>
        <v>649</v>
      </c>
    </row>
    <row r="85" spans="1:32" ht="15" customHeight="1" x14ac:dyDescent="0.25">
      <c r="A85" t="str">
        <f>IFERROR(_xlfn.XLOOKUP(--F85,[1]imagenes!$D:$D,[1]imagenes!$A:$A),"")</f>
        <v/>
      </c>
      <c r="B85" s="2" t="s">
        <v>32</v>
      </c>
      <c r="C85" s="2" t="s">
        <v>33</v>
      </c>
      <c r="D85" s="2" t="s">
        <v>134</v>
      </c>
      <c r="E85" s="2" t="s">
        <v>100</v>
      </c>
      <c r="F85" s="2" t="s">
        <v>276</v>
      </c>
      <c r="G85" s="2" t="s">
        <v>277</v>
      </c>
      <c r="H85" s="2" t="s">
        <v>116</v>
      </c>
      <c r="I85" s="3">
        <v>33.5</v>
      </c>
      <c r="J85" s="4">
        <v>115</v>
      </c>
      <c r="O85" s="5">
        <v>46</v>
      </c>
      <c r="P85" s="5">
        <v>43</v>
      </c>
      <c r="Q85" s="5">
        <v>50</v>
      </c>
      <c r="R85" s="5">
        <v>50</v>
      </c>
      <c r="S85" s="5">
        <v>50</v>
      </c>
      <c r="T85" s="5">
        <v>50</v>
      </c>
      <c r="U85" s="5">
        <v>50</v>
      </c>
      <c r="V85" s="5">
        <v>50</v>
      </c>
      <c r="W85" s="5">
        <v>50</v>
      </c>
      <c r="X85" s="5">
        <v>50</v>
      </c>
      <c r="Y85" s="5">
        <v>50</v>
      </c>
      <c r="Z85" s="5">
        <v>42</v>
      </c>
      <c r="AA85" s="5">
        <v>50</v>
      </c>
      <c r="AC85" s="5">
        <v>33</v>
      </c>
      <c r="AF85" s="7">
        <f t="shared" si="1"/>
        <v>664</v>
      </c>
    </row>
    <row r="86" spans="1:32" ht="15" customHeight="1" x14ac:dyDescent="0.25">
      <c r="A86" t="str">
        <f>IFERROR(_xlfn.XLOOKUP(--F86,[1]imagenes!$D:$D,[1]imagenes!$A:$A),"")</f>
        <v/>
      </c>
      <c r="B86" s="2" t="s">
        <v>32</v>
      </c>
      <c r="C86" s="2" t="s">
        <v>33</v>
      </c>
      <c r="D86" s="2" t="s">
        <v>134</v>
      </c>
      <c r="E86" s="2" t="s">
        <v>100</v>
      </c>
      <c r="F86" s="2" t="s">
        <v>278</v>
      </c>
      <c r="G86" s="2" t="s">
        <v>279</v>
      </c>
      <c r="H86" s="2" t="s">
        <v>280</v>
      </c>
      <c r="I86" s="3">
        <v>33.5</v>
      </c>
      <c r="J86" s="4">
        <v>115</v>
      </c>
      <c r="Q86" s="5">
        <v>28</v>
      </c>
      <c r="R86" s="5">
        <v>30</v>
      </c>
      <c r="S86" s="5">
        <v>41</v>
      </c>
      <c r="T86" s="5">
        <v>42</v>
      </c>
      <c r="U86" s="5">
        <v>50</v>
      </c>
      <c r="V86" s="5">
        <v>50</v>
      </c>
      <c r="W86" s="5">
        <v>50</v>
      </c>
      <c r="X86" s="5">
        <v>49</v>
      </c>
      <c r="Y86" s="5">
        <v>44</v>
      </c>
      <c r="Z86" s="5">
        <v>21</v>
      </c>
      <c r="AA86" s="5">
        <v>23</v>
      </c>
      <c r="AF86" s="7">
        <f t="shared" si="1"/>
        <v>428</v>
      </c>
    </row>
    <row r="87" spans="1:32" ht="15" customHeight="1" x14ac:dyDescent="0.25">
      <c r="A87" t="str">
        <f>IFERROR(_xlfn.XLOOKUP(--F87,[1]imagenes!$D:$D,[1]imagenes!$A:$A),"")</f>
        <v/>
      </c>
      <c r="B87" s="2" t="s">
        <v>32</v>
      </c>
      <c r="C87" s="2" t="s">
        <v>33</v>
      </c>
      <c r="D87" s="2" t="s">
        <v>134</v>
      </c>
      <c r="E87" s="2" t="s">
        <v>100</v>
      </c>
      <c r="F87" s="2" t="s">
        <v>281</v>
      </c>
      <c r="G87" s="2" t="s">
        <v>282</v>
      </c>
      <c r="H87" s="2" t="s">
        <v>283</v>
      </c>
      <c r="I87" s="3">
        <v>33.5</v>
      </c>
      <c r="J87" s="4">
        <v>115</v>
      </c>
      <c r="Q87" s="5">
        <v>26</v>
      </c>
      <c r="R87" s="5">
        <v>33</v>
      </c>
      <c r="S87" s="5">
        <v>50</v>
      </c>
      <c r="T87" s="5">
        <v>50</v>
      </c>
      <c r="U87" s="5">
        <v>50</v>
      </c>
      <c r="V87" s="5">
        <v>50</v>
      </c>
      <c r="W87" s="5">
        <v>50</v>
      </c>
      <c r="X87" s="5">
        <v>50</v>
      </c>
      <c r="Y87" s="5">
        <v>50</v>
      </c>
      <c r="Z87" s="5">
        <v>24</v>
      </c>
      <c r="AA87" s="5">
        <v>26</v>
      </c>
      <c r="AF87" s="7">
        <f t="shared" si="1"/>
        <v>459</v>
      </c>
    </row>
    <row r="88" spans="1:32" ht="15" customHeight="1" x14ac:dyDescent="0.25">
      <c r="A88" t="str">
        <f>IFERROR(_xlfn.XLOOKUP(--F88,[1]imagenes!$D:$D,[1]imagenes!$A:$A),"")</f>
        <v/>
      </c>
      <c r="B88" s="2" t="s">
        <v>32</v>
      </c>
      <c r="C88" s="2" t="s">
        <v>33</v>
      </c>
      <c r="D88" s="2" t="s">
        <v>134</v>
      </c>
      <c r="E88" s="2" t="s">
        <v>100</v>
      </c>
      <c r="F88" s="2" t="s">
        <v>284</v>
      </c>
      <c r="G88" s="2" t="s">
        <v>285</v>
      </c>
      <c r="H88" s="2" t="s">
        <v>143</v>
      </c>
      <c r="I88" s="3">
        <v>33.5</v>
      </c>
      <c r="J88" s="4">
        <v>115</v>
      </c>
      <c r="P88" s="5">
        <v>9</v>
      </c>
      <c r="Q88" s="5">
        <v>7</v>
      </c>
      <c r="T88" s="5">
        <v>29</v>
      </c>
      <c r="U88" s="5">
        <v>31</v>
      </c>
      <c r="V88" s="5">
        <v>36</v>
      </c>
      <c r="W88" s="5">
        <v>37</v>
      </c>
      <c r="X88" s="5">
        <v>31</v>
      </c>
      <c r="Y88" s="5">
        <v>32</v>
      </c>
      <c r="AA88" s="5">
        <v>30</v>
      </c>
      <c r="AC88" s="5">
        <v>18</v>
      </c>
      <c r="AF88" s="7">
        <f t="shared" si="1"/>
        <v>260</v>
      </c>
    </row>
    <row r="89" spans="1:32" ht="15" customHeight="1" x14ac:dyDescent="0.25">
      <c r="A89" t="str">
        <f>IFERROR(_xlfn.XLOOKUP(--F89,[1]imagenes!$D:$D,[1]imagenes!$A:$A),"")</f>
        <v/>
      </c>
      <c r="B89" s="2" t="s">
        <v>32</v>
      </c>
      <c r="C89" s="2" t="s">
        <v>33</v>
      </c>
      <c r="D89" s="2" t="s">
        <v>134</v>
      </c>
      <c r="E89" s="2" t="s">
        <v>100</v>
      </c>
      <c r="F89" s="2" t="s">
        <v>286</v>
      </c>
      <c r="G89" s="2" t="s">
        <v>287</v>
      </c>
      <c r="H89" s="2" t="s">
        <v>288</v>
      </c>
      <c r="I89" s="3">
        <v>33.5</v>
      </c>
      <c r="J89" s="4">
        <v>115</v>
      </c>
      <c r="Q89" s="5">
        <v>36</v>
      </c>
      <c r="R89" s="5">
        <v>45</v>
      </c>
      <c r="S89" s="5">
        <v>50</v>
      </c>
      <c r="T89" s="5">
        <v>50</v>
      </c>
      <c r="U89" s="5">
        <v>50</v>
      </c>
      <c r="V89" s="5">
        <v>50</v>
      </c>
      <c r="W89" s="5">
        <v>50</v>
      </c>
      <c r="X89" s="5">
        <v>50</v>
      </c>
      <c r="Y89" s="5">
        <v>50</v>
      </c>
      <c r="Z89" s="5">
        <v>26</v>
      </c>
      <c r="AA89" s="5">
        <v>31</v>
      </c>
      <c r="AF89" s="7">
        <f t="shared" si="1"/>
        <v>488</v>
      </c>
    </row>
    <row r="90" spans="1:32" ht="15" customHeight="1" x14ac:dyDescent="0.25">
      <c r="A90" t="str">
        <f>IFERROR(_xlfn.XLOOKUP(--F90,[1]imagenes!$D:$D,[1]imagenes!$A:$A),"")</f>
        <v/>
      </c>
      <c r="B90" s="2" t="s">
        <v>32</v>
      </c>
      <c r="C90" s="2" t="s">
        <v>33</v>
      </c>
      <c r="D90" s="2" t="s">
        <v>134</v>
      </c>
      <c r="E90" s="2" t="s">
        <v>100</v>
      </c>
      <c r="F90" s="2" t="s">
        <v>289</v>
      </c>
      <c r="G90" s="2" t="s">
        <v>290</v>
      </c>
      <c r="H90" s="2" t="s">
        <v>291</v>
      </c>
      <c r="I90" s="3">
        <v>33.5</v>
      </c>
      <c r="J90" s="4">
        <v>115</v>
      </c>
      <c r="Q90" s="5">
        <v>29</v>
      </c>
      <c r="R90" s="5">
        <v>33</v>
      </c>
      <c r="S90" s="5">
        <v>50</v>
      </c>
      <c r="T90" s="5">
        <v>50</v>
      </c>
      <c r="U90" s="5">
        <v>50</v>
      </c>
      <c r="V90" s="5">
        <v>50</v>
      </c>
      <c r="W90" s="5">
        <v>50</v>
      </c>
      <c r="X90" s="5">
        <v>49</v>
      </c>
      <c r="Y90" s="5">
        <v>45</v>
      </c>
      <c r="Z90" s="5">
        <v>13</v>
      </c>
      <c r="AA90" s="5">
        <v>26</v>
      </c>
      <c r="AF90" s="7">
        <f t="shared" si="1"/>
        <v>445</v>
      </c>
    </row>
    <row r="91" spans="1:32" ht="15" customHeight="1" x14ac:dyDescent="0.25">
      <c r="A91" t="str">
        <f>IFERROR(_xlfn.XLOOKUP(--F91,[1]imagenes!$D:$D,[1]imagenes!$A:$A),"")</f>
        <v/>
      </c>
      <c r="B91" s="2" t="s">
        <v>32</v>
      </c>
      <c r="C91" s="2" t="s">
        <v>33</v>
      </c>
      <c r="D91" s="2" t="s">
        <v>134</v>
      </c>
      <c r="E91" s="2" t="s">
        <v>100</v>
      </c>
      <c r="F91" s="2" t="s">
        <v>292</v>
      </c>
      <c r="G91" s="2" t="s">
        <v>293</v>
      </c>
      <c r="H91" s="2" t="s">
        <v>294</v>
      </c>
      <c r="I91" s="3">
        <v>33.5</v>
      </c>
      <c r="J91" s="4">
        <v>115</v>
      </c>
      <c r="Q91" s="5">
        <v>29</v>
      </c>
      <c r="R91" s="5">
        <v>27</v>
      </c>
      <c r="S91" s="5">
        <v>48</v>
      </c>
      <c r="T91" s="5">
        <v>50</v>
      </c>
      <c r="U91" s="5">
        <v>50</v>
      </c>
      <c r="V91" s="5">
        <v>50</v>
      </c>
      <c r="W91" s="5">
        <v>50</v>
      </c>
      <c r="X91" s="5">
        <v>50</v>
      </c>
      <c r="Y91" s="5">
        <v>33</v>
      </c>
      <c r="Z91" s="5">
        <v>19</v>
      </c>
      <c r="AA91" s="5">
        <v>25</v>
      </c>
      <c r="AF91" s="7">
        <f t="shared" si="1"/>
        <v>431</v>
      </c>
    </row>
    <row r="92" spans="1:32" ht="15" customHeight="1" x14ac:dyDescent="0.25">
      <c r="A92" t="str">
        <f>IFERROR(_xlfn.XLOOKUP(--F92,[1]imagenes!$D:$D,[1]imagenes!$A:$A),"")</f>
        <v/>
      </c>
      <c r="B92" s="2" t="s">
        <v>32</v>
      </c>
      <c r="C92" s="2" t="s">
        <v>295</v>
      </c>
      <c r="D92" s="2" t="s">
        <v>34</v>
      </c>
      <c r="E92" s="2" t="s">
        <v>295</v>
      </c>
      <c r="F92" s="2" t="s">
        <v>296</v>
      </c>
      <c r="G92" s="2" t="s">
        <v>297</v>
      </c>
      <c r="H92" s="2" t="s">
        <v>69</v>
      </c>
      <c r="I92" s="3">
        <v>35</v>
      </c>
      <c r="J92" s="4">
        <v>150</v>
      </c>
      <c r="U92" s="5">
        <v>11</v>
      </c>
      <c r="W92" s="5">
        <v>33</v>
      </c>
      <c r="X92" s="5">
        <v>38</v>
      </c>
      <c r="Y92" s="5">
        <v>50</v>
      </c>
      <c r="Z92" s="5">
        <v>34</v>
      </c>
      <c r="AA92" s="5">
        <v>50</v>
      </c>
      <c r="AB92" s="5">
        <v>29</v>
      </c>
      <c r="AC92" s="5">
        <v>50</v>
      </c>
      <c r="AD92" s="5">
        <v>46</v>
      </c>
      <c r="AE92" s="6">
        <v>18</v>
      </c>
      <c r="AF92" s="7">
        <f t="shared" si="1"/>
        <v>341</v>
      </c>
    </row>
    <row r="93" spans="1:32" ht="15" customHeight="1" x14ac:dyDescent="0.25">
      <c r="A93" t="str">
        <f>IFERROR(_xlfn.XLOOKUP(--F93,[1]imagenes!$D:$D,[1]imagenes!$A:$A),"")</f>
        <v/>
      </c>
      <c r="B93" s="2" t="s">
        <v>32</v>
      </c>
      <c r="C93" s="2" t="s">
        <v>295</v>
      </c>
      <c r="D93" s="2" t="s">
        <v>34</v>
      </c>
      <c r="E93" s="2" t="s">
        <v>295</v>
      </c>
      <c r="F93" s="2" t="s">
        <v>298</v>
      </c>
      <c r="G93" s="2" t="s">
        <v>299</v>
      </c>
      <c r="H93" s="2" t="s">
        <v>300</v>
      </c>
      <c r="I93" s="3">
        <v>35</v>
      </c>
      <c r="J93" s="4">
        <v>150</v>
      </c>
      <c r="S93" s="5">
        <v>14</v>
      </c>
      <c r="U93" s="5">
        <v>50</v>
      </c>
      <c r="V93" s="5">
        <v>27</v>
      </c>
      <c r="W93" s="5">
        <v>50</v>
      </c>
      <c r="X93" s="5">
        <v>50</v>
      </c>
      <c r="Y93" s="5">
        <v>50</v>
      </c>
      <c r="Z93" s="5">
        <v>50</v>
      </c>
      <c r="AA93" s="5">
        <v>50</v>
      </c>
      <c r="AB93" s="5">
        <v>50</v>
      </c>
      <c r="AC93" s="5">
        <v>50</v>
      </c>
      <c r="AD93" s="5">
        <v>46</v>
      </c>
      <c r="AE93" s="6">
        <v>19</v>
      </c>
      <c r="AF93" s="7">
        <f t="shared" si="1"/>
        <v>487</v>
      </c>
    </row>
    <row r="94" spans="1:32" ht="15" customHeight="1" x14ac:dyDescent="0.25">
      <c r="A94" t="str">
        <f>IFERROR(_xlfn.XLOOKUP(--F94,[1]imagenes!$D:$D,[1]imagenes!$A:$A),"")</f>
        <v/>
      </c>
      <c r="B94" s="2" t="s">
        <v>32</v>
      </c>
      <c r="C94" s="2" t="s">
        <v>295</v>
      </c>
      <c r="D94" s="2" t="s">
        <v>34</v>
      </c>
      <c r="E94" s="2" t="s">
        <v>295</v>
      </c>
      <c r="F94" s="2" t="s">
        <v>301</v>
      </c>
      <c r="G94" s="2" t="s">
        <v>302</v>
      </c>
      <c r="H94" s="2" t="s">
        <v>85</v>
      </c>
      <c r="I94" s="3">
        <v>35</v>
      </c>
      <c r="J94" s="4">
        <v>150</v>
      </c>
      <c r="U94" s="5">
        <v>27</v>
      </c>
      <c r="V94" s="5">
        <v>22</v>
      </c>
      <c r="W94" s="5">
        <v>45</v>
      </c>
      <c r="X94" s="5">
        <v>32</v>
      </c>
      <c r="Y94" s="5">
        <v>50</v>
      </c>
      <c r="Z94" s="5">
        <v>32</v>
      </c>
      <c r="AA94" s="5">
        <v>39</v>
      </c>
      <c r="AB94" s="5">
        <v>27</v>
      </c>
      <c r="AC94" s="5">
        <v>39</v>
      </c>
      <c r="AD94" s="5">
        <v>20</v>
      </c>
      <c r="AF94" s="7">
        <f t="shared" si="1"/>
        <v>333</v>
      </c>
    </row>
    <row r="95" spans="1:32" ht="15" customHeight="1" x14ac:dyDescent="0.25">
      <c r="A95" t="str">
        <f>IFERROR(_xlfn.XLOOKUP(--F95,[1]imagenes!$D:$D,[1]imagenes!$A:$A),"")</f>
        <v/>
      </c>
      <c r="B95" s="2" t="s">
        <v>32</v>
      </c>
      <c r="C95" s="2" t="s">
        <v>295</v>
      </c>
      <c r="D95" s="2" t="s">
        <v>34</v>
      </c>
      <c r="E95" s="2" t="s">
        <v>303</v>
      </c>
      <c r="F95" s="2" t="s">
        <v>304</v>
      </c>
      <c r="G95" s="2" t="s">
        <v>305</v>
      </c>
      <c r="H95" s="2" t="s">
        <v>306</v>
      </c>
      <c r="I95" s="3">
        <v>46</v>
      </c>
      <c r="J95" s="4">
        <v>150</v>
      </c>
      <c r="T95" s="5">
        <v>7</v>
      </c>
      <c r="U95" s="5">
        <v>30</v>
      </c>
      <c r="V95" s="5">
        <v>33</v>
      </c>
      <c r="W95" s="5">
        <v>50</v>
      </c>
      <c r="X95" s="5">
        <v>50</v>
      </c>
      <c r="Y95" s="5">
        <v>50</v>
      </c>
      <c r="Z95" s="5">
        <v>50</v>
      </c>
      <c r="AA95" s="5">
        <v>50</v>
      </c>
      <c r="AC95" s="5">
        <v>44</v>
      </c>
      <c r="AD95" s="5">
        <v>50</v>
      </c>
      <c r="AF95" s="7">
        <f t="shared" si="1"/>
        <v>414</v>
      </c>
    </row>
    <row r="96" spans="1:32" ht="15" customHeight="1" x14ac:dyDescent="0.25">
      <c r="A96" t="str">
        <f>IFERROR(_xlfn.XLOOKUP(--F96,[1]imagenes!$D:$D,[1]imagenes!$A:$A),"")</f>
        <v/>
      </c>
      <c r="B96" s="2" t="s">
        <v>32</v>
      </c>
      <c r="C96" s="2" t="s">
        <v>295</v>
      </c>
      <c r="D96" s="2" t="s">
        <v>34</v>
      </c>
      <c r="E96" s="2" t="s">
        <v>303</v>
      </c>
      <c r="F96" s="2" t="s">
        <v>307</v>
      </c>
      <c r="G96" s="2" t="s">
        <v>308</v>
      </c>
      <c r="H96" s="2" t="s">
        <v>309</v>
      </c>
      <c r="I96" s="3">
        <v>46</v>
      </c>
      <c r="J96" s="4">
        <v>150</v>
      </c>
      <c r="U96" s="5">
        <v>27</v>
      </c>
      <c r="V96" s="5">
        <v>26</v>
      </c>
      <c r="W96" s="5">
        <v>50</v>
      </c>
      <c r="X96" s="5">
        <v>50</v>
      </c>
      <c r="Y96" s="5">
        <v>50</v>
      </c>
      <c r="Z96" s="5">
        <v>50</v>
      </c>
      <c r="AA96" s="5">
        <v>50</v>
      </c>
      <c r="AC96" s="5">
        <v>41</v>
      </c>
      <c r="AD96" s="5">
        <v>42</v>
      </c>
      <c r="AF96" s="7">
        <f t="shared" si="1"/>
        <v>386</v>
      </c>
    </row>
    <row r="97" spans="1:32" ht="15" customHeight="1" x14ac:dyDescent="0.25">
      <c r="A97" t="str">
        <f>IFERROR(_xlfn.XLOOKUP(--F97,[1]imagenes!$D:$D,[1]imagenes!$A:$A),"")</f>
        <v/>
      </c>
      <c r="B97" s="2" t="s">
        <v>32</v>
      </c>
      <c r="C97" s="2" t="s">
        <v>295</v>
      </c>
      <c r="D97" s="2" t="s">
        <v>34</v>
      </c>
      <c r="E97" s="2" t="s">
        <v>303</v>
      </c>
      <c r="F97" s="2" t="s">
        <v>310</v>
      </c>
      <c r="G97" s="2" t="s">
        <v>311</v>
      </c>
      <c r="H97" s="2" t="s">
        <v>312</v>
      </c>
      <c r="I97" s="3">
        <v>46</v>
      </c>
      <c r="J97" s="4">
        <v>150</v>
      </c>
      <c r="T97" s="5">
        <v>7</v>
      </c>
      <c r="U97" s="5">
        <v>28</v>
      </c>
      <c r="V97" s="5">
        <v>31</v>
      </c>
      <c r="W97" s="5">
        <v>50</v>
      </c>
      <c r="X97" s="5">
        <v>50</v>
      </c>
      <c r="Y97" s="5">
        <v>50</v>
      </c>
      <c r="Z97" s="5">
        <v>50</v>
      </c>
      <c r="AA97" s="5">
        <v>50</v>
      </c>
      <c r="AC97" s="5">
        <v>40</v>
      </c>
      <c r="AD97" s="5">
        <v>50</v>
      </c>
      <c r="AF97" s="7">
        <f t="shared" si="1"/>
        <v>406</v>
      </c>
    </row>
    <row r="98" spans="1:32" ht="15" customHeight="1" x14ac:dyDescent="0.25">
      <c r="A98" t="str">
        <f>IFERROR(_xlfn.XLOOKUP(--F98,[1]imagenes!$D:$D,[1]imagenes!$A:$A),"")</f>
        <v/>
      </c>
      <c r="B98" s="2" t="s">
        <v>32</v>
      </c>
      <c r="C98" s="2" t="s">
        <v>295</v>
      </c>
      <c r="D98" s="2" t="s">
        <v>134</v>
      </c>
      <c r="E98" s="2" t="s">
        <v>295</v>
      </c>
      <c r="F98" s="2" t="s">
        <v>313</v>
      </c>
      <c r="G98" s="2" t="s">
        <v>314</v>
      </c>
      <c r="H98" s="2" t="s">
        <v>315</v>
      </c>
      <c r="I98" s="3">
        <v>35</v>
      </c>
      <c r="J98" s="4">
        <v>150</v>
      </c>
      <c r="O98" s="5">
        <v>48</v>
      </c>
      <c r="Q98" s="5">
        <v>7</v>
      </c>
      <c r="R98" s="5">
        <v>16</v>
      </c>
      <c r="S98" s="5">
        <v>23</v>
      </c>
      <c r="T98" s="5">
        <v>9</v>
      </c>
      <c r="U98" s="5">
        <v>30</v>
      </c>
      <c r="V98" s="5">
        <v>30</v>
      </c>
      <c r="W98" s="5">
        <v>25</v>
      </c>
      <c r="X98" s="5">
        <v>23</v>
      </c>
      <c r="Y98" s="5">
        <v>17</v>
      </c>
      <c r="Z98" s="5">
        <v>13</v>
      </c>
      <c r="AA98" s="5">
        <v>8</v>
      </c>
      <c r="AF98" s="7">
        <f t="shared" si="1"/>
        <v>249</v>
      </c>
    </row>
    <row r="99" spans="1:32" ht="15" customHeight="1" x14ac:dyDescent="0.25">
      <c r="A99" t="str">
        <f>IFERROR(_xlfn.XLOOKUP(--F99,[1]imagenes!$D:$D,[1]imagenes!$A:$A),"")</f>
        <v/>
      </c>
      <c r="B99" s="2" t="s">
        <v>32</v>
      </c>
      <c r="C99" s="2" t="s">
        <v>295</v>
      </c>
      <c r="D99" s="2" t="s">
        <v>134</v>
      </c>
      <c r="E99" s="2" t="s">
        <v>316</v>
      </c>
      <c r="F99" s="2" t="s">
        <v>317</v>
      </c>
      <c r="G99" s="2" t="s">
        <v>318</v>
      </c>
      <c r="H99" s="2" t="s">
        <v>319</v>
      </c>
      <c r="I99" s="3">
        <v>36</v>
      </c>
      <c r="J99" s="4">
        <v>140</v>
      </c>
      <c r="Q99" s="5">
        <v>16</v>
      </c>
      <c r="R99" s="5">
        <v>21</v>
      </c>
      <c r="S99" s="5">
        <v>38</v>
      </c>
      <c r="T99" s="5">
        <v>31</v>
      </c>
      <c r="U99" s="5">
        <v>43</v>
      </c>
      <c r="V99" s="5">
        <v>35</v>
      </c>
      <c r="W99" s="5">
        <v>40</v>
      </c>
      <c r="X99" s="5">
        <v>32</v>
      </c>
      <c r="Y99" s="5">
        <v>33</v>
      </c>
      <c r="Z99" s="5">
        <v>12</v>
      </c>
      <c r="AA99" s="5">
        <v>18</v>
      </c>
      <c r="AF99" s="7">
        <f t="shared" si="1"/>
        <v>319</v>
      </c>
    </row>
    <row r="100" spans="1:32" ht="15" customHeight="1" x14ac:dyDescent="0.25">
      <c r="A100" t="str">
        <f>IFERROR(_xlfn.XLOOKUP(--F100,[1]imagenes!$D:$D,[1]imagenes!$A:$A),"")</f>
        <v/>
      </c>
      <c r="B100" s="2" t="s">
        <v>32</v>
      </c>
      <c r="C100" s="2" t="s">
        <v>295</v>
      </c>
      <c r="D100" s="2" t="s">
        <v>134</v>
      </c>
      <c r="E100" s="2" t="s">
        <v>303</v>
      </c>
      <c r="F100" s="2" t="s">
        <v>320</v>
      </c>
      <c r="G100" s="2" t="s">
        <v>321</v>
      </c>
      <c r="H100" s="2" t="s">
        <v>322</v>
      </c>
      <c r="I100" s="3">
        <v>46</v>
      </c>
      <c r="J100" s="4">
        <v>150</v>
      </c>
      <c r="O100" s="5">
        <v>19</v>
      </c>
      <c r="P100" s="5">
        <v>24</v>
      </c>
      <c r="Q100" s="5">
        <v>28</v>
      </c>
      <c r="R100" s="5">
        <v>39</v>
      </c>
      <c r="S100" s="5">
        <v>50</v>
      </c>
      <c r="T100" s="5">
        <v>50</v>
      </c>
      <c r="U100" s="5">
        <v>50</v>
      </c>
      <c r="V100" s="5">
        <v>50</v>
      </c>
      <c r="W100" s="5">
        <v>50</v>
      </c>
      <c r="X100" s="5">
        <v>50</v>
      </c>
      <c r="Y100" s="5">
        <v>50</v>
      </c>
      <c r="Z100" s="5">
        <v>31</v>
      </c>
      <c r="AA100" s="5">
        <v>33</v>
      </c>
      <c r="AF100" s="7">
        <f t="shared" si="1"/>
        <v>524</v>
      </c>
    </row>
    <row r="101" spans="1:32" ht="15" customHeight="1" x14ac:dyDescent="0.25">
      <c r="A101" t="str">
        <f>IFERROR(_xlfn.XLOOKUP(--F101,[1]imagenes!$D:$D,[1]imagenes!$A:$A),"")</f>
        <v/>
      </c>
      <c r="B101" s="2" t="s">
        <v>32</v>
      </c>
      <c r="C101" s="2" t="s">
        <v>295</v>
      </c>
      <c r="D101" s="2" t="s">
        <v>134</v>
      </c>
      <c r="E101" s="2" t="s">
        <v>303</v>
      </c>
      <c r="F101" s="2" t="s">
        <v>323</v>
      </c>
      <c r="G101" s="2" t="s">
        <v>324</v>
      </c>
      <c r="H101" s="2" t="s">
        <v>325</v>
      </c>
      <c r="I101" s="3">
        <v>46</v>
      </c>
      <c r="J101" s="4">
        <v>150</v>
      </c>
      <c r="O101" s="5">
        <v>13</v>
      </c>
      <c r="P101" s="5">
        <v>19</v>
      </c>
      <c r="Q101" s="5">
        <v>30</v>
      </c>
      <c r="R101" s="5">
        <v>31</v>
      </c>
      <c r="S101" s="5">
        <v>50</v>
      </c>
      <c r="T101" s="5">
        <v>50</v>
      </c>
      <c r="U101" s="5">
        <v>50</v>
      </c>
      <c r="V101" s="5">
        <v>50</v>
      </c>
      <c r="W101" s="5">
        <v>50</v>
      </c>
      <c r="X101" s="5">
        <v>48</v>
      </c>
      <c r="Y101" s="5">
        <v>50</v>
      </c>
      <c r="Z101" s="5">
        <v>30</v>
      </c>
      <c r="AA101" s="5">
        <v>27</v>
      </c>
      <c r="AF101" s="7">
        <f t="shared" si="1"/>
        <v>498</v>
      </c>
    </row>
    <row r="102" spans="1:32" ht="15" customHeight="1" x14ac:dyDescent="0.25">
      <c r="A102" t="str">
        <f>IFERROR(_xlfn.XLOOKUP(--F102,[1]imagenes!$D:$D,[1]imagenes!$A:$A),"")</f>
        <v/>
      </c>
      <c r="B102" s="2" t="s">
        <v>32</v>
      </c>
      <c r="C102" s="2" t="s">
        <v>295</v>
      </c>
      <c r="D102" s="2" t="s">
        <v>134</v>
      </c>
      <c r="E102" s="2" t="s">
        <v>303</v>
      </c>
      <c r="F102" s="2" t="s">
        <v>326</v>
      </c>
      <c r="G102" s="2" t="s">
        <v>327</v>
      </c>
      <c r="H102" s="2" t="s">
        <v>328</v>
      </c>
      <c r="I102" s="3">
        <v>46</v>
      </c>
      <c r="J102" s="4">
        <v>150</v>
      </c>
      <c r="P102" s="5">
        <v>8</v>
      </c>
      <c r="Q102" s="5">
        <v>10</v>
      </c>
      <c r="R102" s="5">
        <v>20</v>
      </c>
      <c r="S102" s="5">
        <v>31</v>
      </c>
      <c r="T102" s="5">
        <v>26</v>
      </c>
      <c r="U102" s="5">
        <v>43</v>
      </c>
      <c r="V102" s="5">
        <v>36</v>
      </c>
      <c r="W102" s="5">
        <v>34</v>
      </c>
      <c r="X102" s="5">
        <v>27</v>
      </c>
      <c r="Y102" s="5">
        <v>30</v>
      </c>
      <c r="Z102" s="5">
        <v>16</v>
      </c>
      <c r="AA102" s="5">
        <v>13</v>
      </c>
      <c r="AF102" s="7">
        <f t="shared" si="1"/>
        <v>294</v>
      </c>
    </row>
    <row r="103" spans="1:32" ht="15" customHeight="1" x14ac:dyDescent="0.25">
      <c r="A103" t="str">
        <f>IFERROR(_xlfn.XLOOKUP(--F103,[1]imagenes!$D:$D,[1]imagenes!$A:$A),"")</f>
        <v/>
      </c>
      <c r="B103" s="2" t="s">
        <v>32</v>
      </c>
      <c r="C103" s="2" t="s">
        <v>295</v>
      </c>
      <c r="D103" s="2" t="s">
        <v>134</v>
      </c>
      <c r="E103" s="2" t="s">
        <v>303</v>
      </c>
      <c r="F103" s="2" t="s">
        <v>329</v>
      </c>
      <c r="G103" s="2" t="s">
        <v>330</v>
      </c>
      <c r="H103" s="2" t="s">
        <v>331</v>
      </c>
      <c r="I103" s="3">
        <v>46</v>
      </c>
      <c r="J103" s="4">
        <v>150</v>
      </c>
      <c r="O103" s="5">
        <v>9</v>
      </c>
      <c r="P103" s="5">
        <v>11</v>
      </c>
      <c r="Q103" s="5">
        <v>13</v>
      </c>
      <c r="R103" s="5">
        <v>19</v>
      </c>
      <c r="S103" s="5">
        <v>29</v>
      </c>
      <c r="T103" s="5">
        <v>31</v>
      </c>
      <c r="U103" s="5">
        <v>40</v>
      </c>
      <c r="V103" s="5">
        <v>29</v>
      </c>
      <c r="W103" s="5">
        <v>30</v>
      </c>
      <c r="X103" s="5">
        <v>25</v>
      </c>
      <c r="Y103" s="5">
        <v>30</v>
      </c>
      <c r="Z103" s="5">
        <v>17</v>
      </c>
      <c r="AA103" s="5">
        <v>11</v>
      </c>
      <c r="AF103" s="7">
        <f t="shared" si="1"/>
        <v>294</v>
      </c>
    </row>
    <row r="104" spans="1:32" ht="15" customHeight="1" x14ac:dyDescent="0.25">
      <c r="A104" t="str">
        <f>IFERROR(_xlfn.XLOOKUP(--F104,[1]imagenes!$D:$D,[1]imagenes!$A:$A),"")</f>
        <v/>
      </c>
      <c r="B104" s="2" t="s">
        <v>32</v>
      </c>
      <c r="C104" s="2" t="s">
        <v>332</v>
      </c>
      <c r="D104" s="2" t="s">
        <v>34</v>
      </c>
      <c r="E104" s="2" t="s">
        <v>333</v>
      </c>
      <c r="F104" s="2" t="s">
        <v>334</v>
      </c>
      <c r="G104" s="2" t="s">
        <v>335</v>
      </c>
      <c r="H104" s="2" t="s">
        <v>336</v>
      </c>
      <c r="I104" s="3">
        <v>34.5</v>
      </c>
      <c r="J104" s="4">
        <v>130</v>
      </c>
      <c r="T104" s="5">
        <v>11</v>
      </c>
      <c r="U104" s="5">
        <v>31</v>
      </c>
      <c r="V104" s="5">
        <v>29</v>
      </c>
      <c r="W104" s="5">
        <v>47</v>
      </c>
      <c r="X104" s="5">
        <v>46</v>
      </c>
      <c r="Y104" s="5">
        <v>50</v>
      </c>
      <c r="Z104" s="5">
        <v>50</v>
      </c>
      <c r="AA104" s="5">
        <v>50</v>
      </c>
      <c r="AB104" s="5">
        <v>36</v>
      </c>
      <c r="AC104" s="5">
        <v>50</v>
      </c>
      <c r="AD104" s="5">
        <v>35</v>
      </c>
      <c r="AE104" s="6">
        <v>31</v>
      </c>
      <c r="AF104" s="7">
        <f t="shared" si="1"/>
        <v>435</v>
      </c>
    </row>
    <row r="105" spans="1:32" ht="15" customHeight="1" x14ac:dyDescent="0.25">
      <c r="A105" t="str">
        <f>IFERROR(_xlfn.XLOOKUP(--F105,[1]imagenes!$D:$D,[1]imagenes!$A:$A),"")</f>
        <v/>
      </c>
      <c r="B105" s="2" t="s">
        <v>32</v>
      </c>
      <c r="C105" s="2" t="s">
        <v>332</v>
      </c>
      <c r="D105" s="2" t="s">
        <v>34</v>
      </c>
      <c r="E105" s="2" t="s">
        <v>337</v>
      </c>
      <c r="F105" s="2" t="s">
        <v>338</v>
      </c>
      <c r="G105" s="2" t="s">
        <v>339</v>
      </c>
      <c r="H105" s="2" t="s">
        <v>340</v>
      </c>
      <c r="I105" s="3">
        <v>31</v>
      </c>
      <c r="J105" s="4">
        <v>120</v>
      </c>
      <c r="S105" s="5">
        <v>27</v>
      </c>
      <c r="T105" s="5">
        <v>31</v>
      </c>
      <c r="U105" s="5">
        <v>26</v>
      </c>
      <c r="V105" s="5">
        <v>9</v>
      </c>
      <c r="W105" s="5">
        <v>50</v>
      </c>
      <c r="X105" s="5">
        <v>50</v>
      </c>
      <c r="Y105" s="5">
        <v>50</v>
      </c>
      <c r="Z105" s="5">
        <v>50</v>
      </c>
      <c r="AA105" s="5">
        <v>50</v>
      </c>
      <c r="AB105" s="5">
        <v>50</v>
      </c>
      <c r="AC105" s="5">
        <v>50</v>
      </c>
      <c r="AD105" s="5">
        <v>50</v>
      </c>
      <c r="AE105" s="6">
        <v>23</v>
      </c>
      <c r="AF105" s="7">
        <f t="shared" si="1"/>
        <v>493</v>
      </c>
    </row>
    <row r="106" spans="1:32" ht="15" customHeight="1" x14ac:dyDescent="0.25">
      <c r="A106" t="str">
        <f>IFERROR(_xlfn.XLOOKUP(--F106,[1]imagenes!$D:$D,[1]imagenes!$A:$A),"")</f>
        <v/>
      </c>
      <c r="B106" s="2" t="s">
        <v>32</v>
      </c>
      <c r="C106" s="2" t="s">
        <v>332</v>
      </c>
      <c r="D106" s="2" t="s">
        <v>34</v>
      </c>
      <c r="E106" s="2" t="s">
        <v>337</v>
      </c>
      <c r="F106" s="2" t="s">
        <v>341</v>
      </c>
      <c r="G106" s="2" t="s">
        <v>342</v>
      </c>
      <c r="H106" s="2" t="s">
        <v>343</v>
      </c>
      <c r="I106" s="3">
        <v>31</v>
      </c>
      <c r="J106" s="4">
        <v>120</v>
      </c>
      <c r="S106" s="5">
        <v>7</v>
      </c>
      <c r="T106" s="5">
        <v>9</v>
      </c>
      <c r="U106" s="5">
        <v>50</v>
      </c>
      <c r="V106" s="5">
        <v>50</v>
      </c>
      <c r="W106" s="5">
        <v>50</v>
      </c>
      <c r="X106" s="5">
        <v>50</v>
      </c>
      <c r="Y106" s="5">
        <v>50</v>
      </c>
      <c r="Z106" s="5">
        <v>50</v>
      </c>
      <c r="AA106" s="5">
        <v>50</v>
      </c>
      <c r="AB106" s="5">
        <v>50</v>
      </c>
      <c r="AC106" s="5">
        <v>50</v>
      </c>
      <c r="AD106" s="5">
        <v>50</v>
      </c>
      <c r="AE106" s="6">
        <v>8</v>
      </c>
      <c r="AF106" s="7">
        <f t="shared" si="1"/>
        <v>516</v>
      </c>
    </row>
    <row r="107" spans="1:32" ht="15" customHeight="1" x14ac:dyDescent="0.25">
      <c r="A107" t="str">
        <f>IFERROR(_xlfn.XLOOKUP(--F107,[1]imagenes!$D:$D,[1]imagenes!$A:$A),"")</f>
        <v/>
      </c>
      <c r="B107" s="2" t="s">
        <v>32</v>
      </c>
      <c r="C107" s="2" t="s">
        <v>332</v>
      </c>
      <c r="D107" s="2" t="s">
        <v>34</v>
      </c>
      <c r="E107" s="2" t="s">
        <v>337</v>
      </c>
      <c r="F107" s="2" t="s">
        <v>344</v>
      </c>
      <c r="G107" s="2" t="s">
        <v>345</v>
      </c>
      <c r="H107" s="2" t="s">
        <v>66</v>
      </c>
      <c r="I107" s="3">
        <v>31</v>
      </c>
      <c r="J107" s="4">
        <v>120</v>
      </c>
      <c r="U107" s="5">
        <v>9</v>
      </c>
      <c r="V107" s="5">
        <v>23</v>
      </c>
      <c r="X107" s="5">
        <v>28</v>
      </c>
      <c r="Y107" s="5">
        <v>49</v>
      </c>
      <c r="Z107" s="5">
        <v>30</v>
      </c>
      <c r="AA107" s="5">
        <v>34</v>
      </c>
      <c r="AC107" s="5">
        <v>44</v>
      </c>
      <c r="AD107" s="5">
        <v>27</v>
      </c>
      <c r="AF107" s="7">
        <f t="shared" si="1"/>
        <v>244</v>
      </c>
    </row>
    <row r="108" spans="1:32" ht="15" customHeight="1" x14ac:dyDescent="0.25">
      <c r="A108" t="str">
        <f>IFERROR(_xlfn.XLOOKUP(--F108,[1]imagenes!$D:$D,[1]imagenes!$A:$A),"")</f>
        <v/>
      </c>
      <c r="B108" s="2" t="s">
        <v>32</v>
      </c>
      <c r="C108" s="2" t="s">
        <v>332</v>
      </c>
      <c r="D108" s="2" t="s">
        <v>34</v>
      </c>
      <c r="E108" s="2" t="s">
        <v>337</v>
      </c>
      <c r="F108" s="2" t="s">
        <v>346</v>
      </c>
      <c r="G108" s="2" t="s">
        <v>347</v>
      </c>
      <c r="H108" s="2" t="s">
        <v>265</v>
      </c>
      <c r="I108" s="3">
        <v>31</v>
      </c>
      <c r="J108" s="4">
        <v>120</v>
      </c>
      <c r="S108" s="5">
        <v>33</v>
      </c>
      <c r="T108" s="5">
        <v>36</v>
      </c>
      <c r="V108" s="5">
        <v>26</v>
      </c>
      <c r="W108" s="5">
        <v>50</v>
      </c>
      <c r="X108" s="5">
        <v>50</v>
      </c>
      <c r="Y108" s="5">
        <v>50</v>
      </c>
      <c r="Z108" s="5">
        <v>50</v>
      </c>
      <c r="AA108" s="5">
        <v>50</v>
      </c>
      <c r="AB108" s="5">
        <v>50</v>
      </c>
      <c r="AC108" s="5">
        <v>50</v>
      </c>
      <c r="AD108" s="5">
        <v>50</v>
      </c>
      <c r="AE108" s="6">
        <v>81</v>
      </c>
      <c r="AF108" s="7">
        <f t="shared" si="1"/>
        <v>495</v>
      </c>
    </row>
    <row r="109" spans="1:32" ht="15" customHeight="1" x14ac:dyDescent="0.25">
      <c r="A109" t="str">
        <f>IFERROR(_xlfn.XLOOKUP(--F109,[1]imagenes!$D:$D,[1]imagenes!$A:$A),"")</f>
        <v/>
      </c>
      <c r="B109" s="2" t="s">
        <v>32</v>
      </c>
      <c r="C109" s="2" t="s">
        <v>332</v>
      </c>
      <c r="D109" s="2" t="s">
        <v>34</v>
      </c>
      <c r="E109" s="2" t="s">
        <v>337</v>
      </c>
      <c r="F109" s="2" t="s">
        <v>348</v>
      </c>
      <c r="G109" s="2" t="s">
        <v>349</v>
      </c>
      <c r="H109" s="2" t="s">
        <v>350</v>
      </c>
      <c r="I109" s="3">
        <v>31</v>
      </c>
      <c r="J109" s="4">
        <v>120</v>
      </c>
      <c r="U109" s="5">
        <v>19</v>
      </c>
      <c r="V109" s="5">
        <v>27</v>
      </c>
      <c r="W109" s="5">
        <v>39</v>
      </c>
      <c r="X109" s="5">
        <v>50</v>
      </c>
      <c r="Y109" s="5">
        <v>50</v>
      </c>
      <c r="Z109" s="5">
        <v>50</v>
      </c>
      <c r="AA109" s="5">
        <v>50</v>
      </c>
      <c r="AB109" s="5">
        <v>50</v>
      </c>
      <c r="AC109" s="5">
        <v>50</v>
      </c>
      <c r="AD109" s="5">
        <v>50</v>
      </c>
      <c r="AE109" s="6">
        <v>29</v>
      </c>
      <c r="AF109" s="7">
        <f t="shared" si="1"/>
        <v>435</v>
      </c>
    </row>
    <row r="110" spans="1:32" ht="15" customHeight="1" x14ac:dyDescent="0.25">
      <c r="A110" t="str">
        <f>IFERROR(_xlfn.XLOOKUP(--F110,[1]imagenes!$D:$D,[1]imagenes!$A:$A),"")</f>
        <v/>
      </c>
      <c r="B110" s="2" t="s">
        <v>32</v>
      </c>
      <c r="C110" s="2" t="s">
        <v>332</v>
      </c>
      <c r="D110" s="2" t="s">
        <v>34</v>
      </c>
      <c r="E110" s="2" t="s">
        <v>337</v>
      </c>
      <c r="F110" s="2" t="s">
        <v>351</v>
      </c>
      <c r="G110" s="2" t="s">
        <v>352</v>
      </c>
      <c r="H110" s="2" t="s">
        <v>353</v>
      </c>
      <c r="I110" s="3">
        <v>31</v>
      </c>
      <c r="J110" s="4">
        <v>120</v>
      </c>
      <c r="S110" s="5">
        <v>9</v>
      </c>
      <c r="U110" s="5">
        <v>36</v>
      </c>
      <c r="V110" s="5">
        <v>43</v>
      </c>
      <c r="W110" s="5">
        <v>50</v>
      </c>
      <c r="X110" s="5">
        <v>50</v>
      </c>
      <c r="Y110" s="5">
        <v>50</v>
      </c>
      <c r="Z110" s="5">
        <v>50</v>
      </c>
      <c r="AA110" s="5">
        <v>50</v>
      </c>
      <c r="AB110" s="5">
        <v>31</v>
      </c>
      <c r="AC110" s="5">
        <v>50</v>
      </c>
      <c r="AD110" s="5">
        <v>48</v>
      </c>
      <c r="AE110" s="6">
        <v>20</v>
      </c>
      <c r="AF110" s="7">
        <f t="shared" si="1"/>
        <v>467</v>
      </c>
    </row>
    <row r="111" spans="1:32" ht="15" customHeight="1" x14ac:dyDescent="0.25">
      <c r="A111" t="str">
        <f>IFERROR(_xlfn.XLOOKUP(--F111,[1]imagenes!$D:$D,[1]imagenes!$A:$A),"")</f>
        <v/>
      </c>
      <c r="B111" s="2" t="s">
        <v>32</v>
      </c>
      <c r="C111" s="2" t="s">
        <v>332</v>
      </c>
      <c r="D111" s="2" t="s">
        <v>34</v>
      </c>
      <c r="E111" s="2" t="s">
        <v>337</v>
      </c>
      <c r="F111" s="2" t="s">
        <v>354</v>
      </c>
      <c r="G111" s="2" t="s">
        <v>355</v>
      </c>
      <c r="H111" s="2" t="s">
        <v>356</v>
      </c>
      <c r="I111" s="3">
        <v>31</v>
      </c>
      <c r="J111" s="4">
        <v>120</v>
      </c>
      <c r="S111" s="5">
        <v>13</v>
      </c>
      <c r="T111" s="5">
        <v>17</v>
      </c>
      <c r="U111" s="5">
        <v>26</v>
      </c>
      <c r="V111" s="5">
        <v>50</v>
      </c>
      <c r="W111" s="5">
        <v>50</v>
      </c>
      <c r="X111" s="5">
        <v>50</v>
      </c>
      <c r="Y111" s="5">
        <v>50</v>
      </c>
      <c r="Z111" s="5">
        <v>50</v>
      </c>
      <c r="AA111" s="5">
        <v>50</v>
      </c>
      <c r="AB111" s="5">
        <v>50</v>
      </c>
      <c r="AC111" s="5">
        <v>50</v>
      </c>
      <c r="AD111" s="5">
        <v>50</v>
      </c>
      <c r="AE111" s="6">
        <v>67</v>
      </c>
      <c r="AF111" s="7">
        <f t="shared" si="1"/>
        <v>506</v>
      </c>
    </row>
    <row r="112" spans="1:32" ht="15" customHeight="1" x14ac:dyDescent="0.25">
      <c r="A112" t="str">
        <f>IFERROR(_xlfn.XLOOKUP(--F112,[1]imagenes!$D:$D,[1]imagenes!$A:$A),"")</f>
        <v/>
      </c>
      <c r="B112" s="2" t="s">
        <v>32</v>
      </c>
      <c r="C112" s="2" t="s">
        <v>332</v>
      </c>
      <c r="D112" s="2" t="s">
        <v>34</v>
      </c>
      <c r="E112" s="2" t="s">
        <v>357</v>
      </c>
      <c r="F112" s="2" t="s">
        <v>358</v>
      </c>
      <c r="G112" s="2" t="s">
        <v>359</v>
      </c>
      <c r="H112" s="2" t="s">
        <v>360</v>
      </c>
      <c r="I112" s="3">
        <v>22.5</v>
      </c>
      <c r="J112" s="4">
        <v>80</v>
      </c>
      <c r="T112" s="5">
        <v>15</v>
      </c>
      <c r="U112" s="5">
        <v>30</v>
      </c>
      <c r="V112" s="5">
        <v>31</v>
      </c>
      <c r="W112" s="5">
        <v>49</v>
      </c>
      <c r="X112" s="5">
        <v>31</v>
      </c>
      <c r="Y112" s="5">
        <v>50</v>
      </c>
      <c r="Z112" s="5">
        <v>39</v>
      </c>
      <c r="AA112" s="5">
        <v>50</v>
      </c>
      <c r="AB112" s="5">
        <v>36</v>
      </c>
      <c r="AC112" s="5">
        <v>50</v>
      </c>
      <c r="AD112" s="5">
        <v>50</v>
      </c>
      <c r="AE112" s="6">
        <v>45</v>
      </c>
      <c r="AF112" s="7">
        <f t="shared" si="1"/>
        <v>431</v>
      </c>
    </row>
    <row r="113" spans="1:32" ht="15" customHeight="1" x14ac:dyDescent="0.25">
      <c r="A113" t="str">
        <f>IFERROR(_xlfn.XLOOKUP(--F113,[1]imagenes!$D:$D,[1]imagenes!$A:$A),"")</f>
        <v/>
      </c>
      <c r="B113" s="2" t="s">
        <v>32</v>
      </c>
      <c r="C113" s="2" t="s">
        <v>332</v>
      </c>
      <c r="D113" s="2" t="s">
        <v>34</v>
      </c>
      <c r="E113" s="2" t="s">
        <v>357</v>
      </c>
      <c r="F113" s="2" t="s">
        <v>361</v>
      </c>
      <c r="G113" s="2" t="s">
        <v>362</v>
      </c>
      <c r="H113" s="2" t="s">
        <v>363</v>
      </c>
      <c r="I113" s="3">
        <v>22.5</v>
      </c>
      <c r="J113" s="4">
        <v>80</v>
      </c>
      <c r="S113" s="5">
        <v>15</v>
      </c>
      <c r="T113" s="5">
        <v>8</v>
      </c>
      <c r="U113" s="5">
        <v>30</v>
      </c>
      <c r="W113" s="5">
        <v>43</v>
      </c>
      <c r="Y113" s="5">
        <v>50</v>
      </c>
      <c r="AA113" s="5">
        <v>50</v>
      </c>
      <c r="AC113" s="5">
        <v>35</v>
      </c>
      <c r="AD113" s="5">
        <v>45</v>
      </c>
      <c r="AE113" s="6">
        <v>7</v>
      </c>
      <c r="AF113" s="7">
        <f t="shared" si="1"/>
        <v>276</v>
      </c>
    </row>
    <row r="114" spans="1:32" ht="15" customHeight="1" x14ac:dyDescent="0.25">
      <c r="A114" t="str">
        <f>IFERROR(_xlfn.XLOOKUP(--F114,[1]imagenes!$D:$D,[1]imagenes!$A:$A),"")</f>
        <v/>
      </c>
      <c r="B114" s="2" t="s">
        <v>32</v>
      </c>
      <c r="C114" s="2" t="s">
        <v>332</v>
      </c>
      <c r="D114" s="2" t="s">
        <v>34</v>
      </c>
      <c r="E114" s="2" t="s">
        <v>364</v>
      </c>
      <c r="F114" s="2" t="s">
        <v>365</v>
      </c>
      <c r="G114" s="2" t="s">
        <v>366</v>
      </c>
      <c r="H114" s="2" t="s">
        <v>171</v>
      </c>
      <c r="I114" s="3">
        <v>40</v>
      </c>
      <c r="J114" s="4">
        <v>135</v>
      </c>
      <c r="S114" s="5">
        <v>27</v>
      </c>
      <c r="T114" s="5">
        <v>37</v>
      </c>
      <c r="U114" s="5">
        <v>50</v>
      </c>
      <c r="V114" s="5">
        <v>50</v>
      </c>
      <c r="W114" s="5">
        <v>50</v>
      </c>
      <c r="X114" s="5">
        <v>50</v>
      </c>
      <c r="Y114" s="5">
        <v>50</v>
      </c>
      <c r="Z114" s="5">
        <v>50</v>
      </c>
      <c r="AA114" s="5">
        <v>50</v>
      </c>
      <c r="AB114" s="5">
        <v>50</v>
      </c>
      <c r="AC114" s="5">
        <v>50</v>
      </c>
      <c r="AD114" s="5">
        <v>50</v>
      </c>
      <c r="AE114" s="6">
        <v>24</v>
      </c>
      <c r="AF114" s="7">
        <f t="shared" si="1"/>
        <v>564</v>
      </c>
    </row>
    <row r="115" spans="1:32" ht="15" customHeight="1" x14ac:dyDescent="0.25">
      <c r="A115" t="str">
        <f>IFERROR(_xlfn.XLOOKUP(--F115,[1]imagenes!$D:$D,[1]imagenes!$A:$A),"")</f>
        <v/>
      </c>
      <c r="B115" s="2" t="s">
        <v>32</v>
      </c>
      <c r="C115" s="2" t="s">
        <v>332</v>
      </c>
      <c r="D115" s="2" t="s">
        <v>34</v>
      </c>
      <c r="E115" s="2" t="s">
        <v>367</v>
      </c>
      <c r="F115" s="2" t="s">
        <v>368</v>
      </c>
      <c r="G115" s="2" t="s">
        <v>369</v>
      </c>
      <c r="H115" s="2" t="s">
        <v>113</v>
      </c>
      <c r="I115" s="3">
        <v>32.5</v>
      </c>
      <c r="J115" s="4">
        <v>130</v>
      </c>
      <c r="S115" s="5">
        <v>49</v>
      </c>
      <c r="T115" s="5">
        <v>45</v>
      </c>
      <c r="V115" s="5">
        <v>50</v>
      </c>
      <c r="Y115" s="5">
        <v>50</v>
      </c>
      <c r="Z115" s="5">
        <v>50</v>
      </c>
      <c r="AA115" s="5">
        <v>50</v>
      </c>
      <c r="AB115" s="5">
        <v>50</v>
      </c>
      <c r="AC115" s="5">
        <v>50</v>
      </c>
      <c r="AD115" s="5">
        <v>50</v>
      </c>
      <c r="AF115" s="7">
        <f t="shared" si="1"/>
        <v>444</v>
      </c>
    </row>
    <row r="116" spans="1:32" ht="15" customHeight="1" x14ac:dyDescent="0.25">
      <c r="A116" t="str">
        <f>IFERROR(_xlfn.XLOOKUP(--F116,[1]imagenes!$D:$D,[1]imagenes!$A:$A),"")</f>
        <v/>
      </c>
      <c r="B116" s="2" t="s">
        <v>32</v>
      </c>
      <c r="C116" s="2" t="s">
        <v>332</v>
      </c>
      <c r="D116" s="2" t="s">
        <v>34</v>
      </c>
      <c r="E116" s="2" t="s">
        <v>367</v>
      </c>
      <c r="F116" s="2" t="s">
        <v>370</v>
      </c>
      <c r="G116" s="2" t="s">
        <v>371</v>
      </c>
      <c r="H116" s="2" t="s">
        <v>372</v>
      </c>
      <c r="I116" s="3">
        <v>32.5</v>
      </c>
      <c r="J116" s="4">
        <v>130</v>
      </c>
      <c r="S116" s="5">
        <v>7</v>
      </c>
      <c r="T116" s="5">
        <v>50</v>
      </c>
      <c r="U116" s="5">
        <v>50</v>
      </c>
      <c r="V116" s="5">
        <v>50</v>
      </c>
      <c r="W116" s="5">
        <v>50</v>
      </c>
      <c r="X116" s="5">
        <v>50</v>
      </c>
      <c r="Y116" s="5">
        <v>50</v>
      </c>
      <c r="Z116" s="5">
        <v>50</v>
      </c>
      <c r="AA116" s="5">
        <v>50</v>
      </c>
      <c r="AB116" s="5">
        <v>50</v>
      </c>
      <c r="AC116" s="5">
        <v>50</v>
      </c>
      <c r="AD116" s="5">
        <v>50</v>
      </c>
      <c r="AE116" s="6">
        <v>114</v>
      </c>
      <c r="AF116" s="7">
        <f t="shared" si="1"/>
        <v>557</v>
      </c>
    </row>
    <row r="117" spans="1:32" ht="15" customHeight="1" x14ac:dyDescent="0.25">
      <c r="A117" t="str">
        <f>IFERROR(_xlfn.XLOOKUP(--F117,[1]imagenes!$D:$D,[1]imagenes!$A:$A),"")</f>
        <v/>
      </c>
      <c r="B117" s="2" t="s">
        <v>32</v>
      </c>
      <c r="C117" s="2" t="s">
        <v>332</v>
      </c>
      <c r="D117" s="2" t="s">
        <v>34</v>
      </c>
      <c r="E117" s="2" t="s">
        <v>367</v>
      </c>
      <c r="F117" s="2" t="s">
        <v>373</v>
      </c>
      <c r="G117" s="2" t="s">
        <v>374</v>
      </c>
      <c r="H117" s="2" t="s">
        <v>42</v>
      </c>
      <c r="I117" s="3">
        <v>32.5</v>
      </c>
      <c r="J117" s="4">
        <v>130</v>
      </c>
      <c r="T117" s="5">
        <v>12</v>
      </c>
      <c r="U117" s="5">
        <v>50</v>
      </c>
      <c r="V117" s="5">
        <v>33</v>
      </c>
      <c r="W117" s="5">
        <v>50</v>
      </c>
      <c r="X117" s="5">
        <v>50</v>
      </c>
      <c r="Y117" s="5">
        <v>50</v>
      </c>
      <c r="Z117" s="5">
        <v>50</v>
      </c>
      <c r="AA117" s="5">
        <v>50</v>
      </c>
      <c r="AB117" s="5">
        <v>50</v>
      </c>
      <c r="AC117" s="5">
        <v>50</v>
      </c>
      <c r="AD117" s="5">
        <v>50</v>
      </c>
      <c r="AE117" s="6">
        <v>32</v>
      </c>
      <c r="AF117" s="7">
        <f t="shared" si="1"/>
        <v>495</v>
      </c>
    </row>
    <row r="118" spans="1:32" ht="15" customHeight="1" x14ac:dyDescent="0.25">
      <c r="A118" t="str">
        <f>IFERROR(_xlfn.XLOOKUP(--F118,[1]imagenes!$D:$D,[1]imagenes!$A:$A),"")</f>
        <v/>
      </c>
      <c r="B118" s="2" t="s">
        <v>32</v>
      </c>
      <c r="C118" s="2" t="s">
        <v>332</v>
      </c>
      <c r="D118" s="2" t="s">
        <v>34</v>
      </c>
      <c r="E118" s="2" t="s">
        <v>367</v>
      </c>
      <c r="F118" s="2" t="s">
        <v>375</v>
      </c>
      <c r="G118" s="2" t="s">
        <v>376</v>
      </c>
      <c r="H118" s="2" t="s">
        <v>377</v>
      </c>
      <c r="I118" s="3">
        <v>32.5</v>
      </c>
      <c r="J118" s="4">
        <v>130</v>
      </c>
      <c r="S118" s="5">
        <v>7</v>
      </c>
      <c r="U118" s="5">
        <v>21</v>
      </c>
      <c r="V118" s="5">
        <v>34</v>
      </c>
      <c r="W118" s="5">
        <v>50</v>
      </c>
      <c r="X118" s="5">
        <v>50</v>
      </c>
      <c r="Y118" s="5">
        <v>50</v>
      </c>
      <c r="Z118" s="5">
        <v>50</v>
      </c>
      <c r="AA118" s="5">
        <v>50</v>
      </c>
      <c r="AB118" s="5">
        <v>50</v>
      </c>
      <c r="AC118" s="5">
        <v>50</v>
      </c>
      <c r="AD118" s="5">
        <v>50</v>
      </c>
      <c r="AE118" s="6">
        <v>34</v>
      </c>
      <c r="AF118" s="7">
        <f t="shared" si="1"/>
        <v>462</v>
      </c>
    </row>
    <row r="119" spans="1:32" ht="15" customHeight="1" x14ac:dyDescent="0.25">
      <c r="A119" t="str">
        <f>IFERROR(_xlfn.XLOOKUP(--F119,[1]imagenes!$D:$D,[1]imagenes!$A:$A),"")</f>
        <v/>
      </c>
      <c r="B119" s="2" t="s">
        <v>32</v>
      </c>
      <c r="C119" s="2" t="s">
        <v>332</v>
      </c>
      <c r="D119" s="2" t="s">
        <v>34</v>
      </c>
      <c r="E119" s="2" t="s">
        <v>367</v>
      </c>
      <c r="F119" s="2" t="s">
        <v>378</v>
      </c>
      <c r="G119" s="2" t="s">
        <v>379</v>
      </c>
      <c r="H119" s="2" t="s">
        <v>380</v>
      </c>
      <c r="I119" s="3">
        <v>32.5</v>
      </c>
      <c r="J119" s="4">
        <v>130</v>
      </c>
      <c r="S119" s="5">
        <v>28</v>
      </c>
      <c r="T119" s="5">
        <v>34</v>
      </c>
      <c r="U119" s="5">
        <v>31</v>
      </c>
      <c r="V119" s="5">
        <v>36</v>
      </c>
      <c r="W119" s="5">
        <v>50</v>
      </c>
      <c r="X119" s="5">
        <v>50</v>
      </c>
      <c r="Y119" s="5">
        <v>50</v>
      </c>
      <c r="Z119" s="5">
        <v>50</v>
      </c>
      <c r="AA119" s="5">
        <v>50</v>
      </c>
      <c r="AB119" s="5">
        <v>50</v>
      </c>
      <c r="AC119" s="5">
        <v>50</v>
      </c>
      <c r="AD119" s="5">
        <v>50</v>
      </c>
      <c r="AE119" s="6">
        <v>133</v>
      </c>
      <c r="AF119" s="7">
        <f t="shared" si="1"/>
        <v>529</v>
      </c>
    </row>
    <row r="120" spans="1:32" ht="15" customHeight="1" x14ac:dyDescent="0.25">
      <c r="A120" t="str">
        <f>IFERROR(_xlfn.XLOOKUP(--F120,[1]imagenes!$D:$D,[1]imagenes!$A:$A),"")</f>
        <v/>
      </c>
      <c r="B120" s="2" t="s">
        <v>32</v>
      </c>
      <c r="C120" s="2" t="s">
        <v>332</v>
      </c>
      <c r="D120" s="2" t="s">
        <v>34</v>
      </c>
      <c r="E120" s="2" t="s">
        <v>367</v>
      </c>
      <c r="F120" s="2" t="s">
        <v>381</v>
      </c>
      <c r="G120" s="2" t="s">
        <v>382</v>
      </c>
      <c r="H120" s="2" t="s">
        <v>383</v>
      </c>
      <c r="I120" s="3">
        <v>32.5</v>
      </c>
      <c r="J120" s="4">
        <v>130</v>
      </c>
      <c r="T120" s="5">
        <v>13</v>
      </c>
      <c r="U120" s="5">
        <v>50</v>
      </c>
      <c r="V120" s="5">
        <v>32</v>
      </c>
      <c r="W120" s="5">
        <v>50</v>
      </c>
      <c r="Y120" s="5">
        <v>50</v>
      </c>
      <c r="Z120" s="5">
        <v>50</v>
      </c>
      <c r="AB120" s="5">
        <v>50</v>
      </c>
      <c r="AE120" s="6">
        <v>7</v>
      </c>
      <c r="AF120" s="7">
        <f t="shared" si="1"/>
        <v>295</v>
      </c>
    </row>
    <row r="121" spans="1:32" ht="15" customHeight="1" x14ac:dyDescent="0.25">
      <c r="A121" t="str">
        <f>IFERROR(_xlfn.XLOOKUP(--F121,[1]imagenes!$D:$D,[1]imagenes!$A:$A),"")</f>
        <v/>
      </c>
      <c r="B121" s="2" t="s">
        <v>32</v>
      </c>
      <c r="C121" s="2" t="s">
        <v>332</v>
      </c>
      <c r="D121" s="2" t="s">
        <v>34</v>
      </c>
      <c r="E121" s="2" t="s">
        <v>367</v>
      </c>
      <c r="F121" s="2" t="s">
        <v>384</v>
      </c>
      <c r="G121" s="2" t="s">
        <v>385</v>
      </c>
      <c r="H121" s="2" t="s">
        <v>386</v>
      </c>
      <c r="I121" s="3">
        <v>32.5</v>
      </c>
      <c r="J121" s="4">
        <v>130</v>
      </c>
      <c r="U121" s="5">
        <v>15</v>
      </c>
      <c r="V121" s="5">
        <v>12</v>
      </c>
      <c r="W121" s="5">
        <v>33</v>
      </c>
      <c r="X121" s="5">
        <v>24</v>
      </c>
      <c r="Y121" s="5">
        <v>34</v>
      </c>
      <c r="Z121" s="5">
        <v>33</v>
      </c>
      <c r="AA121" s="5">
        <v>36</v>
      </c>
      <c r="AB121" s="5">
        <v>17</v>
      </c>
      <c r="AC121" s="5">
        <v>29</v>
      </c>
      <c r="AD121" s="5">
        <v>14</v>
      </c>
      <c r="AE121" s="6">
        <v>7</v>
      </c>
      <c r="AF121" s="7">
        <f t="shared" si="1"/>
        <v>247</v>
      </c>
    </row>
    <row r="122" spans="1:32" ht="15" customHeight="1" x14ac:dyDescent="0.25">
      <c r="A122" t="str">
        <f>IFERROR(_xlfn.XLOOKUP(--F122,[1]imagenes!$D:$D,[1]imagenes!$A:$A),"")</f>
        <v/>
      </c>
      <c r="B122" s="2" t="s">
        <v>32</v>
      </c>
      <c r="C122" s="2" t="s">
        <v>332</v>
      </c>
      <c r="D122" s="2" t="s">
        <v>34</v>
      </c>
      <c r="E122" s="2" t="s">
        <v>387</v>
      </c>
      <c r="F122" s="2" t="s">
        <v>388</v>
      </c>
      <c r="G122" s="2" t="s">
        <v>389</v>
      </c>
      <c r="H122" s="2" t="s">
        <v>390</v>
      </c>
      <c r="I122" s="3">
        <v>38</v>
      </c>
      <c r="J122" s="4">
        <v>135</v>
      </c>
      <c r="T122" s="5">
        <v>17</v>
      </c>
      <c r="U122" s="5">
        <v>50</v>
      </c>
      <c r="V122" s="5">
        <v>50</v>
      </c>
      <c r="W122" s="5">
        <v>50</v>
      </c>
      <c r="X122" s="5">
        <v>50</v>
      </c>
      <c r="Y122" s="5">
        <v>50</v>
      </c>
      <c r="Z122" s="5">
        <v>50</v>
      </c>
      <c r="AA122" s="5">
        <v>50</v>
      </c>
      <c r="AB122" s="5">
        <v>50</v>
      </c>
      <c r="AC122" s="5">
        <v>50</v>
      </c>
      <c r="AD122" s="5">
        <v>50</v>
      </c>
      <c r="AE122" s="6">
        <v>54</v>
      </c>
      <c r="AF122" s="7">
        <f t="shared" si="1"/>
        <v>517</v>
      </c>
    </row>
    <row r="123" spans="1:32" ht="15" customHeight="1" x14ac:dyDescent="0.25">
      <c r="A123" t="str">
        <f>IFERROR(_xlfn.XLOOKUP(--F123,[1]imagenes!$D:$D,[1]imagenes!$A:$A),"")</f>
        <v/>
      </c>
      <c r="B123" s="2" t="s">
        <v>32</v>
      </c>
      <c r="C123" s="2" t="s">
        <v>332</v>
      </c>
      <c r="D123" s="2" t="s">
        <v>34</v>
      </c>
      <c r="E123" s="2" t="s">
        <v>391</v>
      </c>
      <c r="F123" s="2" t="s">
        <v>392</v>
      </c>
      <c r="G123" s="2" t="s">
        <v>393</v>
      </c>
      <c r="H123" s="2" t="s">
        <v>390</v>
      </c>
      <c r="I123" s="3">
        <v>39</v>
      </c>
      <c r="J123" s="4">
        <v>140</v>
      </c>
      <c r="S123" s="5">
        <v>19</v>
      </c>
      <c r="T123" s="5">
        <v>31</v>
      </c>
      <c r="U123" s="5">
        <v>50</v>
      </c>
      <c r="V123" s="5">
        <v>50</v>
      </c>
      <c r="W123" s="5">
        <v>50</v>
      </c>
      <c r="X123" s="5">
        <v>50</v>
      </c>
      <c r="Y123" s="5">
        <v>50</v>
      </c>
      <c r="Z123" s="5">
        <v>50</v>
      </c>
      <c r="AA123" s="5">
        <v>50</v>
      </c>
      <c r="AB123" s="5">
        <v>50</v>
      </c>
      <c r="AC123" s="5">
        <v>50</v>
      </c>
      <c r="AD123" s="5">
        <v>50</v>
      </c>
      <c r="AE123" s="6">
        <v>90</v>
      </c>
      <c r="AF123" s="7">
        <f t="shared" si="1"/>
        <v>550</v>
      </c>
    </row>
    <row r="124" spans="1:32" ht="15" customHeight="1" x14ac:dyDescent="0.25">
      <c r="A124" t="str">
        <f>IFERROR(_xlfn.XLOOKUP(--F124,[1]imagenes!$D:$D,[1]imagenes!$A:$A),"")</f>
        <v/>
      </c>
      <c r="B124" s="2" t="s">
        <v>32</v>
      </c>
      <c r="C124" s="2" t="s">
        <v>332</v>
      </c>
      <c r="D124" s="2" t="s">
        <v>34</v>
      </c>
      <c r="E124" s="2" t="s">
        <v>394</v>
      </c>
      <c r="F124" s="2" t="s">
        <v>395</v>
      </c>
      <c r="G124" s="2" t="s">
        <v>396</v>
      </c>
      <c r="H124" s="2" t="s">
        <v>69</v>
      </c>
      <c r="I124" s="3">
        <v>23</v>
      </c>
      <c r="J124" s="4">
        <v>85</v>
      </c>
      <c r="S124" s="5">
        <v>26</v>
      </c>
      <c r="T124" s="5">
        <v>19</v>
      </c>
      <c r="U124" s="5">
        <v>26</v>
      </c>
      <c r="V124" s="5">
        <v>16</v>
      </c>
      <c r="W124" s="5">
        <v>50</v>
      </c>
      <c r="Y124" s="5">
        <v>50</v>
      </c>
      <c r="Z124" s="5">
        <v>18</v>
      </c>
      <c r="AA124" s="5">
        <v>50</v>
      </c>
      <c r="AB124" s="5">
        <v>7</v>
      </c>
      <c r="AC124" s="5">
        <v>50</v>
      </c>
      <c r="AD124" s="5">
        <v>33</v>
      </c>
      <c r="AE124" s="6">
        <v>11</v>
      </c>
      <c r="AF124" s="7">
        <f t="shared" si="1"/>
        <v>345</v>
      </c>
    </row>
    <row r="125" spans="1:32" ht="15" customHeight="1" x14ac:dyDescent="0.25">
      <c r="A125" t="str">
        <f>IFERROR(_xlfn.XLOOKUP(--F125,[1]imagenes!$D:$D,[1]imagenes!$A:$A),"")</f>
        <v/>
      </c>
      <c r="B125" s="2" t="s">
        <v>32</v>
      </c>
      <c r="C125" s="2" t="s">
        <v>332</v>
      </c>
      <c r="D125" s="2" t="s">
        <v>134</v>
      </c>
      <c r="E125" s="2" t="s">
        <v>397</v>
      </c>
      <c r="F125" s="2" t="s">
        <v>398</v>
      </c>
      <c r="G125" s="2" t="s">
        <v>399</v>
      </c>
      <c r="H125" s="2" t="s">
        <v>400</v>
      </c>
      <c r="I125" s="3">
        <v>32</v>
      </c>
      <c r="J125" s="4">
        <v>130</v>
      </c>
      <c r="O125" s="5">
        <v>15</v>
      </c>
      <c r="P125" s="5">
        <v>28</v>
      </c>
      <c r="Q125" s="5">
        <v>46</v>
      </c>
      <c r="R125" s="5">
        <v>50</v>
      </c>
      <c r="S125" s="5">
        <v>50</v>
      </c>
      <c r="T125" s="5">
        <v>50</v>
      </c>
      <c r="U125" s="5">
        <v>50</v>
      </c>
      <c r="V125" s="5">
        <v>50</v>
      </c>
      <c r="W125" s="5">
        <v>50</v>
      </c>
      <c r="X125" s="5">
        <v>50</v>
      </c>
      <c r="Y125" s="5">
        <v>50</v>
      </c>
      <c r="Z125" s="5">
        <v>50</v>
      </c>
      <c r="AA125" s="5">
        <v>50</v>
      </c>
      <c r="AC125" s="5">
        <v>30</v>
      </c>
      <c r="AF125" s="7">
        <f t="shared" si="1"/>
        <v>619</v>
      </c>
    </row>
    <row r="126" spans="1:32" ht="15" customHeight="1" x14ac:dyDescent="0.25">
      <c r="A126" t="str">
        <f>IFERROR(_xlfn.XLOOKUP(--F126,[1]imagenes!$D:$D,[1]imagenes!$A:$A),"")</f>
        <v/>
      </c>
      <c r="B126" s="2" t="s">
        <v>32</v>
      </c>
      <c r="C126" s="2" t="s">
        <v>332</v>
      </c>
      <c r="D126" s="2" t="s">
        <v>134</v>
      </c>
      <c r="E126" s="2" t="s">
        <v>397</v>
      </c>
      <c r="F126" s="2" t="s">
        <v>401</v>
      </c>
      <c r="G126" s="2" t="s">
        <v>402</v>
      </c>
      <c r="H126" s="2" t="s">
        <v>403</v>
      </c>
      <c r="I126" s="3">
        <v>32</v>
      </c>
      <c r="J126" s="4">
        <v>130</v>
      </c>
      <c r="P126" s="5">
        <v>7</v>
      </c>
      <c r="Q126" s="5">
        <v>28</v>
      </c>
      <c r="R126" s="5">
        <v>38</v>
      </c>
      <c r="S126" s="5">
        <v>50</v>
      </c>
      <c r="T126" s="5">
        <v>50</v>
      </c>
      <c r="U126" s="5">
        <v>50</v>
      </c>
      <c r="V126" s="5">
        <v>50</v>
      </c>
      <c r="W126" s="5">
        <v>50</v>
      </c>
      <c r="X126" s="5">
        <v>50</v>
      </c>
      <c r="Y126" s="5">
        <v>50</v>
      </c>
      <c r="Z126" s="5">
        <v>27</v>
      </c>
      <c r="AA126" s="5">
        <v>39</v>
      </c>
      <c r="AC126" s="5">
        <v>13</v>
      </c>
      <c r="AF126" s="7">
        <f t="shared" si="1"/>
        <v>502</v>
      </c>
    </row>
    <row r="127" spans="1:32" ht="15" customHeight="1" x14ac:dyDescent="0.25">
      <c r="A127" t="str">
        <f>IFERROR(_xlfn.XLOOKUP(--F127,[1]imagenes!$D:$D,[1]imagenes!$A:$A),"")</f>
        <v/>
      </c>
      <c r="B127" s="2" t="s">
        <v>32</v>
      </c>
      <c r="C127" s="2" t="s">
        <v>332</v>
      </c>
      <c r="D127" s="2" t="s">
        <v>134</v>
      </c>
      <c r="E127" s="2" t="s">
        <v>397</v>
      </c>
      <c r="F127" s="2" t="s">
        <v>404</v>
      </c>
      <c r="G127" s="2" t="s">
        <v>405</v>
      </c>
      <c r="H127" s="2" t="s">
        <v>406</v>
      </c>
      <c r="I127" s="3">
        <v>32</v>
      </c>
      <c r="J127" s="4">
        <v>130</v>
      </c>
      <c r="Q127" s="5">
        <v>31</v>
      </c>
      <c r="R127" s="5">
        <v>35</v>
      </c>
      <c r="S127" s="5">
        <v>50</v>
      </c>
      <c r="T127" s="5">
        <v>50</v>
      </c>
      <c r="U127" s="5">
        <v>50</v>
      </c>
      <c r="V127" s="5">
        <v>50</v>
      </c>
      <c r="W127" s="5">
        <v>50</v>
      </c>
      <c r="X127" s="5">
        <v>50</v>
      </c>
      <c r="Y127" s="5">
        <v>50</v>
      </c>
      <c r="Z127" s="5">
        <v>17</v>
      </c>
      <c r="AA127" s="5">
        <v>40</v>
      </c>
      <c r="AF127" s="7">
        <f t="shared" si="1"/>
        <v>473</v>
      </c>
    </row>
    <row r="128" spans="1:32" ht="15" customHeight="1" x14ac:dyDescent="0.25">
      <c r="A128" t="str">
        <f>IFERROR(_xlfn.XLOOKUP(--F128,[1]imagenes!$D:$D,[1]imagenes!$A:$A),"")</f>
        <v/>
      </c>
      <c r="B128" s="2" t="s">
        <v>32</v>
      </c>
      <c r="C128" s="2" t="s">
        <v>332</v>
      </c>
      <c r="D128" s="2" t="s">
        <v>134</v>
      </c>
      <c r="E128" s="2" t="s">
        <v>407</v>
      </c>
      <c r="F128" s="2" t="s">
        <v>408</v>
      </c>
      <c r="G128" s="2" t="s">
        <v>409</v>
      </c>
      <c r="H128" s="2" t="s">
        <v>69</v>
      </c>
      <c r="I128" s="3">
        <v>26</v>
      </c>
      <c r="J128" s="4">
        <v>90</v>
      </c>
      <c r="Q128" s="5">
        <v>27</v>
      </c>
      <c r="R128" s="5">
        <v>14</v>
      </c>
      <c r="S128" s="5">
        <v>50</v>
      </c>
      <c r="T128" s="5">
        <v>50</v>
      </c>
      <c r="U128" s="5">
        <v>50</v>
      </c>
      <c r="V128" s="5">
        <v>47</v>
      </c>
      <c r="W128" s="5">
        <v>50</v>
      </c>
      <c r="X128" s="5">
        <v>45</v>
      </c>
      <c r="Y128" s="5">
        <v>50</v>
      </c>
      <c r="Z128" s="5">
        <v>9</v>
      </c>
      <c r="AA128" s="5">
        <v>19</v>
      </c>
      <c r="AF128" s="7">
        <f t="shared" si="1"/>
        <v>411</v>
      </c>
    </row>
    <row r="129" spans="1:32" ht="15" customHeight="1" x14ac:dyDescent="0.25">
      <c r="A129" t="str">
        <f>IFERROR(_xlfn.XLOOKUP(--F129,[1]imagenes!$D:$D,[1]imagenes!$A:$A),"")</f>
        <v/>
      </c>
      <c r="B129" s="2" t="s">
        <v>32</v>
      </c>
      <c r="C129" s="2" t="s">
        <v>332</v>
      </c>
      <c r="D129" s="2" t="s">
        <v>134</v>
      </c>
      <c r="E129" s="2" t="s">
        <v>407</v>
      </c>
      <c r="F129" s="2" t="s">
        <v>410</v>
      </c>
      <c r="G129" s="2" t="s">
        <v>411</v>
      </c>
      <c r="H129" s="2" t="s">
        <v>259</v>
      </c>
      <c r="I129" s="3">
        <v>26</v>
      </c>
      <c r="J129" s="4">
        <v>90</v>
      </c>
      <c r="O129" s="5">
        <v>15</v>
      </c>
      <c r="P129" s="5">
        <v>17</v>
      </c>
      <c r="Q129" s="5">
        <v>44</v>
      </c>
      <c r="R129" s="5">
        <v>38</v>
      </c>
      <c r="S129" s="5">
        <v>50</v>
      </c>
      <c r="T129" s="5">
        <v>50</v>
      </c>
      <c r="U129" s="5">
        <v>50</v>
      </c>
      <c r="V129" s="5">
        <v>50</v>
      </c>
      <c r="W129" s="5">
        <v>50</v>
      </c>
      <c r="X129" s="5">
        <v>50</v>
      </c>
      <c r="Y129" s="5">
        <v>50</v>
      </c>
      <c r="Z129" s="5">
        <v>24</v>
      </c>
      <c r="AA129" s="5">
        <v>50</v>
      </c>
      <c r="AF129" s="7">
        <f t="shared" si="1"/>
        <v>538</v>
      </c>
    </row>
    <row r="130" spans="1:32" ht="15" customHeight="1" x14ac:dyDescent="0.25">
      <c r="A130" t="str">
        <f>IFERROR(_xlfn.XLOOKUP(--F130,[1]imagenes!$D:$D,[1]imagenes!$A:$A),"")</f>
        <v/>
      </c>
      <c r="B130" s="2" t="s">
        <v>32</v>
      </c>
      <c r="C130" s="2" t="s">
        <v>332</v>
      </c>
      <c r="D130" s="2" t="s">
        <v>134</v>
      </c>
      <c r="E130" s="2" t="s">
        <v>407</v>
      </c>
      <c r="F130" s="2" t="s">
        <v>412</v>
      </c>
      <c r="G130" s="2" t="s">
        <v>413</v>
      </c>
      <c r="H130" s="2" t="s">
        <v>414</v>
      </c>
      <c r="I130" s="3">
        <v>26</v>
      </c>
      <c r="J130" s="4">
        <v>90</v>
      </c>
      <c r="O130" s="5">
        <v>15</v>
      </c>
      <c r="P130" s="5">
        <v>14</v>
      </c>
      <c r="Q130" s="5">
        <v>39</v>
      </c>
      <c r="R130" s="5">
        <v>32</v>
      </c>
      <c r="S130" s="5">
        <v>50</v>
      </c>
      <c r="T130" s="5">
        <v>50</v>
      </c>
      <c r="U130" s="5">
        <v>50</v>
      </c>
      <c r="V130" s="5">
        <v>50</v>
      </c>
      <c r="W130" s="5">
        <v>50</v>
      </c>
      <c r="X130" s="5">
        <v>50</v>
      </c>
      <c r="Y130" s="5">
        <v>50</v>
      </c>
      <c r="Z130" s="5">
        <v>29</v>
      </c>
      <c r="AA130" s="5">
        <v>50</v>
      </c>
      <c r="AF130" s="7">
        <f t="shared" ref="AF130:AF193" si="2">SUM(K130:AD130)</f>
        <v>529</v>
      </c>
    </row>
    <row r="131" spans="1:32" ht="15" customHeight="1" x14ac:dyDescent="0.25">
      <c r="A131" t="str">
        <f>IFERROR(_xlfn.XLOOKUP(--F131,[1]imagenes!$D:$D,[1]imagenes!$A:$A),"")</f>
        <v/>
      </c>
      <c r="B131" s="2" t="s">
        <v>32</v>
      </c>
      <c r="C131" s="2" t="s">
        <v>332</v>
      </c>
      <c r="D131" s="2" t="s">
        <v>134</v>
      </c>
      <c r="E131" s="2" t="s">
        <v>407</v>
      </c>
      <c r="F131" s="2" t="s">
        <v>415</v>
      </c>
      <c r="G131" s="2" t="s">
        <v>416</v>
      </c>
      <c r="H131" s="2" t="s">
        <v>386</v>
      </c>
      <c r="I131" s="3">
        <v>26</v>
      </c>
      <c r="J131" s="4">
        <v>90</v>
      </c>
      <c r="O131" s="5">
        <v>9</v>
      </c>
      <c r="P131" s="5">
        <v>7</v>
      </c>
      <c r="Q131" s="5">
        <v>26</v>
      </c>
      <c r="R131" s="5">
        <v>13</v>
      </c>
      <c r="S131" s="5">
        <v>50</v>
      </c>
      <c r="T131" s="5">
        <v>24</v>
      </c>
      <c r="U131" s="5">
        <v>50</v>
      </c>
      <c r="V131" s="5">
        <v>19</v>
      </c>
      <c r="W131" s="5">
        <v>50</v>
      </c>
      <c r="X131" s="5">
        <v>29</v>
      </c>
      <c r="Y131" s="5">
        <v>50</v>
      </c>
      <c r="AA131" s="5">
        <v>31</v>
      </c>
      <c r="AF131" s="7">
        <f t="shared" si="2"/>
        <v>358</v>
      </c>
    </row>
    <row r="132" spans="1:32" ht="15" customHeight="1" x14ac:dyDescent="0.25">
      <c r="A132" t="str">
        <f>IFERROR(_xlfn.XLOOKUP(--F132,[1]imagenes!$D:$D,[1]imagenes!$A:$A),"")</f>
        <v/>
      </c>
      <c r="B132" s="2" t="s">
        <v>32</v>
      </c>
      <c r="C132" s="2" t="s">
        <v>332</v>
      </c>
      <c r="D132" s="2" t="s">
        <v>134</v>
      </c>
      <c r="E132" s="2" t="s">
        <v>337</v>
      </c>
      <c r="F132" s="2" t="s">
        <v>417</v>
      </c>
      <c r="G132" s="2" t="s">
        <v>418</v>
      </c>
      <c r="H132" s="2" t="s">
        <v>360</v>
      </c>
      <c r="I132" s="3">
        <v>31</v>
      </c>
      <c r="J132" s="4">
        <v>120</v>
      </c>
      <c r="O132" s="5">
        <v>14</v>
      </c>
      <c r="Q132" s="5">
        <v>29</v>
      </c>
      <c r="R132" s="5">
        <v>36</v>
      </c>
      <c r="S132" s="5">
        <v>43</v>
      </c>
      <c r="T132" s="5">
        <v>50</v>
      </c>
      <c r="U132" s="5">
        <v>50</v>
      </c>
      <c r="V132" s="5">
        <v>50</v>
      </c>
      <c r="W132" s="5">
        <v>50</v>
      </c>
      <c r="X132" s="5">
        <v>38</v>
      </c>
      <c r="Y132" s="5">
        <v>50</v>
      </c>
      <c r="Z132" s="5">
        <v>30</v>
      </c>
      <c r="AA132" s="5">
        <v>45</v>
      </c>
      <c r="AF132" s="7">
        <f t="shared" si="2"/>
        <v>485</v>
      </c>
    </row>
    <row r="133" spans="1:32" ht="15" customHeight="1" x14ac:dyDescent="0.25">
      <c r="A133" t="str">
        <f>IFERROR(_xlfn.XLOOKUP(--F133,[1]imagenes!$D:$D,[1]imagenes!$A:$A),"")</f>
        <v/>
      </c>
      <c r="B133" s="2" t="s">
        <v>32</v>
      </c>
      <c r="C133" s="2" t="s">
        <v>332</v>
      </c>
      <c r="D133" s="2" t="s">
        <v>134</v>
      </c>
      <c r="E133" s="2" t="s">
        <v>337</v>
      </c>
      <c r="F133" s="2" t="s">
        <v>419</v>
      </c>
      <c r="G133" s="2" t="s">
        <v>420</v>
      </c>
      <c r="H133" s="2" t="s">
        <v>66</v>
      </c>
      <c r="I133" s="3">
        <v>31</v>
      </c>
      <c r="J133" s="4">
        <v>120</v>
      </c>
      <c r="O133" s="5">
        <v>14</v>
      </c>
      <c r="P133" s="5">
        <v>7</v>
      </c>
      <c r="Q133" s="5">
        <v>40</v>
      </c>
      <c r="R133" s="5">
        <v>28</v>
      </c>
      <c r="S133" s="5">
        <v>50</v>
      </c>
      <c r="T133" s="5">
        <v>50</v>
      </c>
      <c r="U133" s="5">
        <v>50</v>
      </c>
      <c r="V133" s="5">
        <v>50</v>
      </c>
      <c r="W133" s="5">
        <v>50</v>
      </c>
      <c r="X133" s="5">
        <v>50</v>
      </c>
      <c r="Y133" s="5">
        <v>50</v>
      </c>
      <c r="Z133" s="5">
        <v>50</v>
      </c>
      <c r="AA133" s="5">
        <v>50</v>
      </c>
      <c r="AF133" s="7">
        <f t="shared" si="2"/>
        <v>539</v>
      </c>
    </row>
    <row r="134" spans="1:32" ht="15" customHeight="1" x14ac:dyDescent="0.25">
      <c r="A134" t="str">
        <f>IFERROR(_xlfn.XLOOKUP(--F134,[1]imagenes!$D:$D,[1]imagenes!$A:$A),"")</f>
        <v/>
      </c>
      <c r="B134" s="2" t="s">
        <v>32</v>
      </c>
      <c r="C134" s="2" t="s">
        <v>332</v>
      </c>
      <c r="D134" s="2" t="s">
        <v>134</v>
      </c>
      <c r="E134" s="2" t="s">
        <v>337</v>
      </c>
      <c r="F134" s="2" t="s">
        <v>421</v>
      </c>
      <c r="G134" s="2" t="s">
        <v>422</v>
      </c>
      <c r="H134" s="2" t="s">
        <v>259</v>
      </c>
      <c r="I134" s="3">
        <v>31</v>
      </c>
      <c r="J134" s="4">
        <v>120</v>
      </c>
      <c r="O134" s="5">
        <v>39</v>
      </c>
      <c r="P134" s="5">
        <v>43</v>
      </c>
      <c r="Q134" s="5">
        <v>50</v>
      </c>
      <c r="R134" s="5">
        <v>50</v>
      </c>
      <c r="S134" s="5">
        <v>50</v>
      </c>
      <c r="T134" s="5">
        <v>50</v>
      </c>
      <c r="U134" s="5">
        <v>50</v>
      </c>
      <c r="V134" s="5">
        <v>50</v>
      </c>
      <c r="W134" s="5">
        <v>50</v>
      </c>
      <c r="X134" s="5">
        <v>50</v>
      </c>
      <c r="Y134" s="5">
        <v>50</v>
      </c>
      <c r="Z134" s="5">
        <v>50</v>
      </c>
      <c r="AA134" s="5">
        <v>50</v>
      </c>
      <c r="AF134" s="7">
        <f t="shared" si="2"/>
        <v>632</v>
      </c>
    </row>
    <row r="135" spans="1:32" ht="15" customHeight="1" x14ac:dyDescent="0.25">
      <c r="A135" t="str">
        <f>IFERROR(_xlfn.XLOOKUP(--F135,[1]imagenes!$D:$D,[1]imagenes!$A:$A),"")</f>
        <v/>
      </c>
      <c r="B135" s="2" t="s">
        <v>32</v>
      </c>
      <c r="C135" s="2" t="s">
        <v>332</v>
      </c>
      <c r="D135" s="2" t="s">
        <v>134</v>
      </c>
      <c r="E135" s="2" t="s">
        <v>337</v>
      </c>
      <c r="F135" s="2" t="s">
        <v>423</v>
      </c>
      <c r="G135" s="2" t="s">
        <v>424</v>
      </c>
      <c r="H135" s="2" t="s">
        <v>425</v>
      </c>
      <c r="I135" s="3">
        <v>31</v>
      </c>
      <c r="J135" s="4">
        <v>120</v>
      </c>
      <c r="O135" s="5">
        <v>17</v>
      </c>
      <c r="R135" s="5">
        <v>24</v>
      </c>
      <c r="S135" s="5">
        <v>11</v>
      </c>
      <c r="T135" s="5">
        <v>23</v>
      </c>
      <c r="U135" s="5">
        <v>50</v>
      </c>
      <c r="V135" s="5">
        <v>50</v>
      </c>
      <c r="W135" s="5">
        <v>50</v>
      </c>
      <c r="X135" s="5">
        <v>50</v>
      </c>
      <c r="Y135" s="5">
        <v>50</v>
      </c>
      <c r="Z135" s="5">
        <v>49</v>
      </c>
      <c r="AA135" s="5">
        <v>50</v>
      </c>
      <c r="AF135" s="7">
        <f t="shared" si="2"/>
        <v>424</v>
      </c>
    </row>
    <row r="136" spans="1:32" ht="15" customHeight="1" x14ac:dyDescent="0.25">
      <c r="A136" t="str">
        <f>IFERROR(_xlfn.XLOOKUP(--F136,[1]imagenes!$D:$D,[1]imagenes!$A:$A),"")</f>
        <v/>
      </c>
      <c r="B136" s="2" t="s">
        <v>32</v>
      </c>
      <c r="C136" s="2" t="s">
        <v>332</v>
      </c>
      <c r="D136" s="2" t="s">
        <v>134</v>
      </c>
      <c r="E136" s="2" t="s">
        <v>337</v>
      </c>
      <c r="F136" s="2" t="s">
        <v>426</v>
      </c>
      <c r="G136" s="2" t="s">
        <v>427</v>
      </c>
      <c r="H136" s="2" t="s">
        <v>428</v>
      </c>
      <c r="I136" s="3">
        <v>31</v>
      </c>
      <c r="J136" s="4">
        <v>120</v>
      </c>
      <c r="O136" s="5">
        <v>11</v>
      </c>
      <c r="P136" s="5">
        <v>11</v>
      </c>
      <c r="Q136" s="5">
        <v>23</v>
      </c>
      <c r="R136" s="5">
        <v>36</v>
      </c>
      <c r="S136" s="5">
        <v>50</v>
      </c>
      <c r="T136" s="5">
        <v>50</v>
      </c>
      <c r="U136" s="5">
        <v>50</v>
      </c>
      <c r="V136" s="5">
        <v>50</v>
      </c>
      <c r="W136" s="5">
        <v>50</v>
      </c>
      <c r="X136" s="5">
        <v>50</v>
      </c>
      <c r="Y136" s="5">
        <v>50</v>
      </c>
      <c r="Z136" s="5">
        <v>27</v>
      </c>
      <c r="AA136" s="5">
        <v>37</v>
      </c>
      <c r="AF136" s="7">
        <f t="shared" si="2"/>
        <v>495</v>
      </c>
    </row>
    <row r="137" spans="1:32" ht="15" customHeight="1" x14ac:dyDescent="0.25">
      <c r="A137" t="str">
        <f>IFERROR(_xlfn.XLOOKUP(--F137,[1]imagenes!$D:$D,[1]imagenes!$A:$A),"")</f>
        <v/>
      </c>
      <c r="B137" s="2" t="s">
        <v>32</v>
      </c>
      <c r="C137" s="2" t="s">
        <v>332</v>
      </c>
      <c r="D137" s="2" t="s">
        <v>134</v>
      </c>
      <c r="E137" s="2" t="s">
        <v>337</v>
      </c>
      <c r="F137" s="2" t="s">
        <v>429</v>
      </c>
      <c r="G137" s="2" t="s">
        <v>430</v>
      </c>
      <c r="H137" s="2" t="s">
        <v>431</v>
      </c>
      <c r="I137" s="3">
        <v>31</v>
      </c>
      <c r="J137" s="4">
        <v>120</v>
      </c>
      <c r="P137" s="5">
        <v>11</v>
      </c>
      <c r="Q137" s="5">
        <v>32</v>
      </c>
      <c r="R137" s="5">
        <v>33</v>
      </c>
      <c r="S137" s="5">
        <v>35</v>
      </c>
      <c r="T137" s="5">
        <v>41</v>
      </c>
      <c r="U137" s="5">
        <v>50</v>
      </c>
      <c r="V137" s="5">
        <v>44</v>
      </c>
      <c r="W137" s="5">
        <v>50</v>
      </c>
      <c r="X137" s="5">
        <v>33</v>
      </c>
      <c r="Y137" s="5">
        <v>27</v>
      </c>
      <c r="Z137" s="5">
        <v>11</v>
      </c>
      <c r="AF137" s="7">
        <f t="shared" si="2"/>
        <v>367</v>
      </c>
    </row>
    <row r="138" spans="1:32" ht="15" customHeight="1" x14ac:dyDescent="0.25">
      <c r="A138" t="str">
        <f>IFERROR(_xlfn.XLOOKUP(--F138,[1]imagenes!$D:$D,[1]imagenes!$A:$A),"")</f>
        <v/>
      </c>
      <c r="B138" s="2" t="s">
        <v>32</v>
      </c>
      <c r="C138" s="2" t="s">
        <v>332</v>
      </c>
      <c r="D138" s="2" t="s">
        <v>134</v>
      </c>
      <c r="E138" s="2" t="s">
        <v>357</v>
      </c>
      <c r="F138" s="2" t="s">
        <v>432</v>
      </c>
      <c r="G138" s="2" t="s">
        <v>433</v>
      </c>
      <c r="H138" s="2" t="s">
        <v>434</v>
      </c>
      <c r="I138" s="3">
        <v>22.5</v>
      </c>
      <c r="J138" s="4">
        <v>80</v>
      </c>
      <c r="P138" s="5">
        <v>10</v>
      </c>
      <c r="Q138" s="5">
        <v>27</v>
      </c>
      <c r="S138" s="5">
        <v>50</v>
      </c>
      <c r="U138" s="5">
        <v>50</v>
      </c>
      <c r="W138" s="5">
        <v>50</v>
      </c>
      <c r="Y138" s="5">
        <v>50</v>
      </c>
      <c r="Z138" s="5">
        <v>14</v>
      </c>
      <c r="AA138" s="5">
        <v>45</v>
      </c>
      <c r="AF138" s="7">
        <f t="shared" si="2"/>
        <v>296</v>
      </c>
    </row>
    <row r="139" spans="1:32" ht="15" customHeight="1" x14ac:dyDescent="0.25">
      <c r="A139" t="str">
        <f>IFERROR(_xlfn.XLOOKUP(--F139,[1]imagenes!$D:$D,[1]imagenes!$A:$A),"")</f>
        <v/>
      </c>
      <c r="B139" s="2" t="s">
        <v>32</v>
      </c>
      <c r="C139" s="2" t="s">
        <v>332</v>
      </c>
      <c r="D139" s="2" t="s">
        <v>134</v>
      </c>
      <c r="E139" s="2" t="s">
        <v>367</v>
      </c>
      <c r="F139" s="2" t="s">
        <v>435</v>
      </c>
      <c r="G139" s="2" t="s">
        <v>436</v>
      </c>
      <c r="H139" s="2" t="s">
        <v>437</v>
      </c>
      <c r="I139" s="3">
        <v>32.5</v>
      </c>
      <c r="J139" s="4">
        <v>130</v>
      </c>
      <c r="O139" s="5">
        <v>27</v>
      </c>
      <c r="P139" s="5">
        <v>26</v>
      </c>
      <c r="Q139" s="5">
        <v>50</v>
      </c>
      <c r="R139" s="5">
        <v>32</v>
      </c>
      <c r="S139" s="5">
        <v>50</v>
      </c>
      <c r="U139" s="5">
        <v>50</v>
      </c>
      <c r="V139" s="5">
        <v>50</v>
      </c>
      <c r="Z139" s="5">
        <v>41</v>
      </c>
      <c r="AF139" s="7">
        <f t="shared" si="2"/>
        <v>326</v>
      </c>
    </row>
    <row r="140" spans="1:32" ht="15" customHeight="1" x14ac:dyDescent="0.25">
      <c r="A140" t="str">
        <f>IFERROR(_xlfn.XLOOKUP(--F140,[1]imagenes!$D:$D,[1]imagenes!$A:$A),"")</f>
        <v/>
      </c>
      <c r="B140" s="2" t="s">
        <v>32</v>
      </c>
      <c r="C140" s="2" t="s">
        <v>332</v>
      </c>
      <c r="D140" s="2" t="s">
        <v>134</v>
      </c>
      <c r="E140" s="2" t="s">
        <v>367</v>
      </c>
      <c r="F140" s="2" t="s">
        <v>438</v>
      </c>
      <c r="G140" s="2" t="s">
        <v>439</v>
      </c>
      <c r="H140" s="2" t="s">
        <v>440</v>
      </c>
      <c r="I140" s="3">
        <v>32.5</v>
      </c>
      <c r="J140" s="4">
        <v>130</v>
      </c>
      <c r="P140" s="5">
        <v>15</v>
      </c>
      <c r="Q140" s="5">
        <v>27</v>
      </c>
      <c r="R140" s="5">
        <v>45</v>
      </c>
      <c r="S140" s="5">
        <v>50</v>
      </c>
      <c r="T140" s="5">
        <v>50</v>
      </c>
      <c r="U140" s="5">
        <v>50</v>
      </c>
      <c r="V140" s="5">
        <v>50</v>
      </c>
      <c r="W140" s="5">
        <v>50</v>
      </c>
      <c r="X140" s="5">
        <v>50</v>
      </c>
      <c r="Y140" s="5">
        <v>50</v>
      </c>
      <c r="Z140" s="5">
        <v>40</v>
      </c>
      <c r="AA140" s="5">
        <v>46</v>
      </c>
      <c r="AF140" s="7">
        <f t="shared" si="2"/>
        <v>523</v>
      </c>
    </row>
    <row r="141" spans="1:32" ht="15" customHeight="1" x14ac:dyDescent="0.25">
      <c r="A141" t="str">
        <f>IFERROR(_xlfn.XLOOKUP(--F141,[1]imagenes!$D:$D,[1]imagenes!$A:$A),"")</f>
        <v/>
      </c>
      <c r="B141" s="2" t="s">
        <v>32</v>
      </c>
      <c r="C141" s="2" t="s">
        <v>332</v>
      </c>
      <c r="D141" s="2" t="s">
        <v>134</v>
      </c>
      <c r="E141" s="2" t="s">
        <v>367</v>
      </c>
      <c r="F141" s="2" t="s">
        <v>441</v>
      </c>
      <c r="G141" s="2" t="s">
        <v>442</v>
      </c>
      <c r="H141" s="2" t="s">
        <v>443</v>
      </c>
      <c r="I141" s="3">
        <v>32.5</v>
      </c>
      <c r="J141" s="4">
        <v>130</v>
      </c>
      <c r="S141" s="5">
        <v>30</v>
      </c>
      <c r="T141" s="5">
        <v>30</v>
      </c>
      <c r="U141" s="5">
        <v>41</v>
      </c>
      <c r="V141" s="5">
        <v>29</v>
      </c>
      <c r="W141" s="5">
        <v>32</v>
      </c>
      <c r="X141" s="5">
        <v>27</v>
      </c>
      <c r="Y141" s="5">
        <v>23</v>
      </c>
      <c r="AA141" s="5">
        <v>17</v>
      </c>
      <c r="AF141" s="7">
        <f t="shared" si="2"/>
        <v>229</v>
      </c>
    </row>
    <row r="142" spans="1:32" ht="15" customHeight="1" x14ac:dyDescent="0.25">
      <c r="A142" t="str">
        <f>IFERROR(_xlfn.XLOOKUP(--F142,[1]imagenes!$D:$D,[1]imagenes!$A:$A),"")</f>
        <v/>
      </c>
      <c r="B142" s="2" t="s">
        <v>32</v>
      </c>
      <c r="C142" s="2" t="s">
        <v>332</v>
      </c>
      <c r="D142" s="2" t="s">
        <v>134</v>
      </c>
      <c r="E142" s="2" t="s">
        <v>367</v>
      </c>
      <c r="F142" s="2" t="s">
        <v>444</v>
      </c>
      <c r="G142" s="2" t="s">
        <v>445</v>
      </c>
      <c r="H142" s="2" t="s">
        <v>446</v>
      </c>
      <c r="I142" s="3">
        <v>32.5</v>
      </c>
      <c r="J142" s="4">
        <v>130</v>
      </c>
      <c r="R142" s="5">
        <v>21</v>
      </c>
      <c r="S142" s="5">
        <v>35</v>
      </c>
      <c r="T142" s="5">
        <v>41</v>
      </c>
      <c r="U142" s="5">
        <v>48</v>
      </c>
      <c r="V142" s="5">
        <v>44</v>
      </c>
      <c r="W142" s="5">
        <v>29</v>
      </c>
      <c r="X142" s="5">
        <v>34</v>
      </c>
      <c r="Y142" s="5">
        <v>28</v>
      </c>
      <c r="Z142" s="5">
        <v>9</v>
      </c>
      <c r="AA142" s="5">
        <v>24</v>
      </c>
      <c r="AF142" s="7">
        <f t="shared" si="2"/>
        <v>313</v>
      </c>
    </row>
    <row r="143" spans="1:32" ht="15" customHeight="1" x14ac:dyDescent="0.25">
      <c r="A143" t="str">
        <f>IFERROR(_xlfn.XLOOKUP(--F143,[1]imagenes!$D:$D,[1]imagenes!$A:$A),"")</f>
        <v/>
      </c>
      <c r="B143" s="2" t="s">
        <v>32</v>
      </c>
      <c r="C143" s="2" t="s">
        <v>332</v>
      </c>
      <c r="D143" s="2" t="s">
        <v>134</v>
      </c>
      <c r="E143" s="2" t="s">
        <v>367</v>
      </c>
      <c r="F143" s="2" t="s">
        <v>447</v>
      </c>
      <c r="G143" s="2" t="s">
        <v>448</v>
      </c>
      <c r="H143" s="2" t="s">
        <v>449</v>
      </c>
      <c r="I143" s="3">
        <v>32.5</v>
      </c>
      <c r="J143" s="4">
        <v>130</v>
      </c>
      <c r="S143" s="5">
        <v>33</v>
      </c>
      <c r="T143" s="5">
        <v>34</v>
      </c>
      <c r="U143" s="5">
        <v>44</v>
      </c>
      <c r="V143" s="5">
        <v>33</v>
      </c>
      <c r="W143" s="5">
        <v>31</v>
      </c>
      <c r="X143" s="5">
        <v>30</v>
      </c>
      <c r="Y143" s="5">
        <v>31</v>
      </c>
      <c r="Z143" s="5">
        <v>8</v>
      </c>
      <c r="AA143" s="5">
        <v>19</v>
      </c>
      <c r="AF143" s="7">
        <f t="shared" si="2"/>
        <v>263</v>
      </c>
    </row>
    <row r="144" spans="1:32" ht="15" customHeight="1" x14ac:dyDescent="0.25">
      <c r="A144" t="str">
        <f>IFERROR(_xlfn.XLOOKUP(--F144,[1]imagenes!$D:$D,[1]imagenes!$A:$A),"")</f>
        <v/>
      </c>
      <c r="B144" s="2" t="s">
        <v>32</v>
      </c>
      <c r="C144" s="2" t="s">
        <v>332</v>
      </c>
      <c r="D144" s="2" t="s">
        <v>134</v>
      </c>
      <c r="E144" s="2" t="s">
        <v>367</v>
      </c>
      <c r="F144" s="2" t="s">
        <v>450</v>
      </c>
      <c r="G144" s="2" t="s">
        <v>451</v>
      </c>
      <c r="H144" s="2" t="s">
        <v>386</v>
      </c>
      <c r="I144" s="3">
        <v>32.5</v>
      </c>
      <c r="J144" s="4">
        <v>130</v>
      </c>
      <c r="Q144" s="5">
        <v>18</v>
      </c>
      <c r="R144" s="5">
        <v>7</v>
      </c>
      <c r="S144" s="5">
        <v>29</v>
      </c>
      <c r="T144" s="5">
        <v>32</v>
      </c>
      <c r="U144" s="5">
        <v>36</v>
      </c>
      <c r="V144" s="5">
        <v>29</v>
      </c>
      <c r="W144" s="5">
        <v>30</v>
      </c>
      <c r="X144" s="5">
        <v>31</v>
      </c>
      <c r="Y144" s="5">
        <v>21</v>
      </c>
      <c r="AA144" s="5">
        <v>16</v>
      </c>
      <c r="AF144" s="7">
        <f t="shared" si="2"/>
        <v>249</v>
      </c>
    </row>
    <row r="145" spans="1:32" ht="15" customHeight="1" x14ac:dyDescent="0.25">
      <c r="A145" t="str">
        <f>IFERROR(_xlfn.XLOOKUP(--F145,[1]imagenes!$D:$D,[1]imagenes!$A:$A),"")</f>
        <v/>
      </c>
      <c r="B145" s="2" t="s">
        <v>32</v>
      </c>
      <c r="C145" s="2" t="s">
        <v>332</v>
      </c>
      <c r="D145" s="2" t="s">
        <v>134</v>
      </c>
      <c r="E145" s="2" t="s">
        <v>367</v>
      </c>
      <c r="F145" s="2" t="s">
        <v>452</v>
      </c>
      <c r="G145" s="2" t="s">
        <v>453</v>
      </c>
      <c r="H145" s="2" t="s">
        <v>454</v>
      </c>
      <c r="I145" s="3">
        <v>32.5</v>
      </c>
      <c r="J145" s="4">
        <v>130</v>
      </c>
      <c r="R145" s="5">
        <v>10</v>
      </c>
      <c r="S145" s="5">
        <v>31</v>
      </c>
      <c r="T145" s="5">
        <v>18</v>
      </c>
      <c r="V145" s="5">
        <v>50</v>
      </c>
      <c r="W145" s="5">
        <v>50</v>
      </c>
      <c r="X145" s="5">
        <v>32</v>
      </c>
      <c r="Y145" s="5">
        <v>37</v>
      </c>
      <c r="AF145" s="7">
        <f t="shared" si="2"/>
        <v>228</v>
      </c>
    </row>
    <row r="146" spans="1:32" ht="15" customHeight="1" x14ac:dyDescent="0.25">
      <c r="A146" t="str">
        <f>IFERROR(_xlfn.XLOOKUP(--F146,[1]imagenes!$D:$D,[1]imagenes!$A:$A),"")</f>
        <v/>
      </c>
      <c r="B146" s="2" t="s">
        <v>32</v>
      </c>
      <c r="C146" s="2" t="s">
        <v>332</v>
      </c>
      <c r="D146" s="2" t="s">
        <v>134</v>
      </c>
      <c r="E146" s="2" t="s">
        <v>455</v>
      </c>
      <c r="F146" s="2" t="s">
        <v>456</v>
      </c>
      <c r="G146" s="2" t="s">
        <v>457</v>
      </c>
      <c r="H146" s="2" t="s">
        <v>458</v>
      </c>
      <c r="I146" s="3">
        <v>34.5</v>
      </c>
      <c r="J146" s="4">
        <v>130</v>
      </c>
      <c r="O146" s="5">
        <v>28</v>
      </c>
      <c r="P146" s="5">
        <v>45</v>
      </c>
      <c r="Q146" s="5">
        <v>50</v>
      </c>
      <c r="R146" s="5">
        <v>46</v>
      </c>
      <c r="S146" s="5">
        <v>50</v>
      </c>
      <c r="T146" s="5">
        <v>50</v>
      </c>
      <c r="U146" s="5">
        <v>50</v>
      </c>
      <c r="V146" s="5">
        <v>29</v>
      </c>
      <c r="X146" s="5">
        <v>7</v>
      </c>
      <c r="AF146" s="7">
        <f t="shared" si="2"/>
        <v>355</v>
      </c>
    </row>
    <row r="147" spans="1:32" ht="15" customHeight="1" x14ac:dyDescent="0.25">
      <c r="A147" t="str">
        <f>IFERROR(_xlfn.XLOOKUP(--F147,[1]imagenes!$D:$D,[1]imagenes!$A:$A),"")</f>
        <v/>
      </c>
      <c r="B147" s="2" t="s">
        <v>32</v>
      </c>
      <c r="C147" s="2" t="s">
        <v>332</v>
      </c>
      <c r="D147" s="2" t="s">
        <v>134</v>
      </c>
      <c r="E147" s="2" t="s">
        <v>459</v>
      </c>
      <c r="F147" s="2" t="s">
        <v>460</v>
      </c>
      <c r="G147" s="2" t="s">
        <v>461</v>
      </c>
      <c r="H147" s="2" t="s">
        <v>462</v>
      </c>
      <c r="I147" s="3">
        <v>31.5</v>
      </c>
      <c r="J147" s="4">
        <v>120</v>
      </c>
      <c r="Q147" s="5">
        <v>50</v>
      </c>
      <c r="R147" s="5">
        <v>50</v>
      </c>
      <c r="S147" s="5">
        <v>50</v>
      </c>
      <c r="T147" s="5">
        <v>50</v>
      </c>
      <c r="U147" s="5">
        <v>50</v>
      </c>
      <c r="V147" s="5">
        <v>50</v>
      </c>
      <c r="W147" s="5">
        <v>50</v>
      </c>
      <c r="X147" s="5">
        <v>50</v>
      </c>
      <c r="Y147" s="5">
        <v>50</v>
      </c>
      <c r="Z147" s="5">
        <v>9</v>
      </c>
      <c r="AA147" s="5">
        <v>50</v>
      </c>
      <c r="AF147" s="7">
        <f t="shared" si="2"/>
        <v>509</v>
      </c>
    </row>
    <row r="148" spans="1:32" ht="15" customHeight="1" x14ac:dyDescent="0.25">
      <c r="A148" t="str">
        <f>IFERROR(_xlfn.XLOOKUP(--F148,[1]imagenes!$D:$D,[1]imagenes!$A:$A),"")</f>
        <v/>
      </c>
      <c r="B148" s="2" t="s">
        <v>32</v>
      </c>
      <c r="C148" s="2" t="s">
        <v>332</v>
      </c>
      <c r="D148" s="2" t="s">
        <v>134</v>
      </c>
      <c r="E148" s="2" t="s">
        <v>459</v>
      </c>
      <c r="F148" s="2" t="s">
        <v>463</v>
      </c>
      <c r="G148" s="2" t="s">
        <v>464</v>
      </c>
      <c r="H148" s="2" t="s">
        <v>465</v>
      </c>
      <c r="I148" s="3">
        <v>31.5</v>
      </c>
      <c r="J148" s="4">
        <v>120</v>
      </c>
      <c r="O148" s="5">
        <v>13</v>
      </c>
      <c r="Q148" s="5">
        <v>50</v>
      </c>
      <c r="R148" s="5">
        <v>50</v>
      </c>
      <c r="S148" s="5">
        <v>50</v>
      </c>
      <c r="T148" s="5">
        <v>50</v>
      </c>
      <c r="U148" s="5">
        <v>50</v>
      </c>
      <c r="V148" s="5">
        <v>50</v>
      </c>
      <c r="W148" s="5">
        <v>50</v>
      </c>
      <c r="X148" s="5">
        <v>50</v>
      </c>
      <c r="Y148" s="5">
        <v>50</v>
      </c>
      <c r="Z148" s="5">
        <v>38</v>
      </c>
      <c r="AA148" s="5">
        <v>33</v>
      </c>
      <c r="AF148" s="7">
        <f t="shared" si="2"/>
        <v>534</v>
      </c>
    </row>
    <row r="149" spans="1:32" ht="15" customHeight="1" x14ac:dyDescent="0.25">
      <c r="A149" t="str">
        <f>IFERROR(_xlfn.XLOOKUP(--F149,[1]imagenes!$D:$D,[1]imagenes!$A:$A),"")</f>
        <v/>
      </c>
      <c r="B149" s="2" t="s">
        <v>32</v>
      </c>
      <c r="C149" s="2" t="s">
        <v>332</v>
      </c>
      <c r="D149" s="2" t="s">
        <v>134</v>
      </c>
      <c r="E149" s="2" t="s">
        <v>459</v>
      </c>
      <c r="F149" s="2" t="s">
        <v>466</v>
      </c>
      <c r="G149" s="2" t="s">
        <v>467</v>
      </c>
      <c r="H149" s="2" t="s">
        <v>468</v>
      </c>
      <c r="I149" s="3">
        <v>31.5</v>
      </c>
      <c r="J149" s="4">
        <v>120</v>
      </c>
      <c r="O149" s="5">
        <v>17</v>
      </c>
      <c r="P149" s="5">
        <v>25</v>
      </c>
      <c r="Q149" s="5">
        <v>12</v>
      </c>
      <c r="R149" s="5">
        <v>50</v>
      </c>
      <c r="S149" s="5">
        <v>50</v>
      </c>
      <c r="T149" s="5">
        <v>50</v>
      </c>
      <c r="U149" s="5">
        <v>50</v>
      </c>
      <c r="V149" s="5">
        <v>50</v>
      </c>
      <c r="W149" s="5">
        <v>50</v>
      </c>
      <c r="X149" s="5">
        <v>50</v>
      </c>
      <c r="Y149" s="5">
        <v>50</v>
      </c>
      <c r="Z149" s="5">
        <v>42</v>
      </c>
      <c r="AA149" s="5">
        <v>19</v>
      </c>
      <c r="AC149" s="5">
        <v>16</v>
      </c>
      <c r="AF149" s="7">
        <f t="shared" si="2"/>
        <v>531</v>
      </c>
    </row>
    <row r="150" spans="1:32" ht="15" customHeight="1" x14ac:dyDescent="0.25">
      <c r="A150" t="str">
        <f>IFERROR(_xlfn.XLOOKUP(--F150,[1]imagenes!$D:$D,[1]imagenes!$A:$A),"")</f>
        <v/>
      </c>
      <c r="B150" s="2" t="s">
        <v>32</v>
      </c>
      <c r="C150" s="2" t="s">
        <v>332</v>
      </c>
      <c r="D150" s="2" t="s">
        <v>134</v>
      </c>
      <c r="E150" s="2" t="s">
        <v>394</v>
      </c>
      <c r="F150" s="2" t="s">
        <v>469</v>
      </c>
      <c r="G150" s="2" t="s">
        <v>470</v>
      </c>
      <c r="H150" s="2" t="s">
        <v>69</v>
      </c>
      <c r="I150" s="3">
        <v>23</v>
      </c>
      <c r="J150" s="4">
        <v>85</v>
      </c>
      <c r="O150" s="5">
        <v>9</v>
      </c>
      <c r="P150" s="5">
        <v>11</v>
      </c>
      <c r="Q150" s="5">
        <v>17</v>
      </c>
      <c r="R150" s="5">
        <v>25</v>
      </c>
      <c r="S150" s="5">
        <v>50</v>
      </c>
      <c r="T150" s="5">
        <v>50</v>
      </c>
      <c r="U150" s="5">
        <v>50</v>
      </c>
      <c r="V150" s="5">
        <v>50</v>
      </c>
      <c r="W150" s="5">
        <v>50</v>
      </c>
      <c r="X150" s="5">
        <v>50</v>
      </c>
      <c r="Y150" s="5">
        <v>50</v>
      </c>
      <c r="Z150" s="5">
        <v>34</v>
      </c>
      <c r="AA150" s="5">
        <v>50</v>
      </c>
      <c r="AF150" s="7">
        <f t="shared" si="2"/>
        <v>496</v>
      </c>
    </row>
    <row r="151" spans="1:32" ht="15" customHeight="1" x14ac:dyDescent="0.25">
      <c r="A151" t="str">
        <f>IFERROR(_xlfn.XLOOKUP(--F151,[1]imagenes!$D:$D,[1]imagenes!$A:$A),"")</f>
        <v/>
      </c>
      <c r="B151" s="2" t="s">
        <v>32</v>
      </c>
      <c r="C151" s="2" t="s">
        <v>332</v>
      </c>
      <c r="D151" s="2" t="s">
        <v>134</v>
      </c>
      <c r="E151" s="2" t="s">
        <v>471</v>
      </c>
      <c r="F151" s="2" t="s">
        <v>472</v>
      </c>
      <c r="G151" s="2" t="s">
        <v>473</v>
      </c>
      <c r="H151" s="2" t="s">
        <v>474</v>
      </c>
      <c r="I151" s="3">
        <v>31.5</v>
      </c>
      <c r="J151" s="4">
        <v>120</v>
      </c>
      <c r="O151" s="5">
        <v>13</v>
      </c>
      <c r="S151" s="5">
        <v>50</v>
      </c>
      <c r="T151" s="5">
        <v>50</v>
      </c>
      <c r="U151" s="5">
        <v>50</v>
      </c>
      <c r="V151" s="5">
        <v>50</v>
      </c>
      <c r="W151" s="5">
        <v>50</v>
      </c>
      <c r="X151" s="5">
        <v>50</v>
      </c>
      <c r="Y151" s="5">
        <v>50</v>
      </c>
      <c r="AA151" s="5">
        <v>50</v>
      </c>
      <c r="AF151" s="7">
        <f t="shared" si="2"/>
        <v>413</v>
      </c>
    </row>
    <row r="152" spans="1:32" ht="15" customHeight="1" x14ac:dyDescent="0.25">
      <c r="A152" t="str">
        <f>IFERROR(_xlfn.XLOOKUP(--F152,[1]imagenes!$D:$D,[1]imagenes!$A:$A),"")</f>
        <v/>
      </c>
      <c r="B152" s="2" t="s">
        <v>32</v>
      </c>
      <c r="C152" s="2" t="s">
        <v>332</v>
      </c>
      <c r="D152" s="2" t="s">
        <v>134</v>
      </c>
      <c r="E152" s="2" t="s">
        <v>471</v>
      </c>
      <c r="F152" s="2" t="s">
        <v>475</v>
      </c>
      <c r="G152" s="2" t="s">
        <v>476</v>
      </c>
      <c r="H152" s="2" t="s">
        <v>477</v>
      </c>
      <c r="I152" s="3">
        <v>31.5</v>
      </c>
      <c r="J152" s="4">
        <v>120</v>
      </c>
      <c r="Q152" s="5">
        <v>40</v>
      </c>
      <c r="R152" s="5">
        <v>50</v>
      </c>
      <c r="S152" s="5">
        <v>50</v>
      </c>
      <c r="T152" s="5">
        <v>50</v>
      </c>
      <c r="U152" s="5">
        <v>39</v>
      </c>
      <c r="V152" s="5">
        <v>50</v>
      </c>
      <c r="W152" s="5">
        <v>50</v>
      </c>
      <c r="X152" s="5">
        <v>50</v>
      </c>
      <c r="Y152" s="5">
        <v>50</v>
      </c>
      <c r="AF152" s="7">
        <f t="shared" si="2"/>
        <v>429</v>
      </c>
    </row>
    <row r="153" spans="1:32" ht="15" customHeight="1" x14ac:dyDescent="0.25">
      <c r="A153" t="str">
        <f>IFERROR(_xlfn.XLOOKUP(--F153,[1]imagenes!$D:$D,[1]imagenes!$A:$A),"")</f>
        <v/>
      </c>
      <c r="B153" s="2" t="s">
        <v>32</v>
      </c>
      <c r="C153" s="2" t="s">
        <v>332</v>
      </c>
      <c r="D153" s="2" t="s">
        <v>134</v>
      </c>
      <c r="E153" s="2" t="s">
        <v>471</v>
      </c>
      <c r="F153" s="2" t="s">
        <v>478</v>
      </c>
      <c r="G153" s="2" t="s">
        <v>479</v>
      </c>
      <c r="H153" s="2" t="s">
        <v>480</v>
      </c>
      <c r="I153" s="3">
        <v>31.5</v>
      </c>
      <c r="J153" s="4">
        <v>120</v>
      </c>
      <c r="O153" s="5">
        <v>9</v>
      </c>
      <c r="P153" s="5">
        <v>17</v>
      </c>
      <c r="Q153" s="5">
        <v>50</v>
      </c>
      <c r="R153" s="5">
        <v>37</v>
      </c>
      <c r="S153" s="5">
        <v>50</v>
      </c>
      <c r="T153" s="5">
        <v>50</v>
      </c>
      <c r="U153" s="5">
        <v>50</v>
      </c>
      <c r="V153" s="5">
        <v>50</v>
      </c>
      <c r="W153" s="5">
        <v>50</v>
      </c>
      <c r="X153" s="5">
        <v>50</v>
      </c>
      <c r="Y153" s="5">
        <v>50</v>
      </c>
      <c r="AF153" s="7">
        <f t="shared" si="2"/>
        <v>463</v>
      </c>
    </row>
    <row r="154" spans="1:32" ht="15" customHeight="1" x14ac:dyDescent="0.25">
      <c r="A154" t="str">
        <f>IFERROR(_xlfn.XLOOKUP(--F154,[1]imagenes!$D:$D,[1]imagenes!$A:$A),"")</f>
        <v/>
      </c>
      <c r="B154" s="2" t="s">
        <v>32</v>
      </c>
      <c r="C154" s="2" t="s">
        <v>332</v>
      </c>
      <c r="D154" s="2" t="s">
        <v>134</v>
      </c>
      <c r="E154" s="2" t="s">
        <v>471</v>
      </c>
      <c r="F154" s="2" t="s">
        <v>481</v>
      </c>
      <c r="G154" s="2" t="s">
        <v>482</v>
      </c>
      <c r="H154" s="2" t="s">
        <v>483</v>
      </c>
      <c r="I154" s="3">
        <v>31.5</v>
      </c>
      <c r="J154" s="4">
        <v>120</v>
      </c>
      <c r="Q154" s="5">
        <v>7</v>
      </c>
      <c r="S154" s="5">
        <v>50</v>
      </c>
      <c r="T154" s="5">
        <v>50</v>
      </c>
      <c r="U154" s="5">
        <v>50</v>
      </c>
      <c r="V154" s="5">
        <v>50</v>
      </c>
      <c r="W154" s="5">
        <v>50</v>
      </c>
      <c r="X154" s="5">
        <v>50</v>
      </c>
      <c r="Y154" s="5">
        <v>11</v>
      </c>
      <c r="AF154" s="7">
        <f t="shared" si="2"/>
        <v>318</v>
      </c>
    </row>
    <row r="155" spans="1:32" ht="15" customHeight="1" x14ac:dyDescent="0.25">
      <c r="A155" t="str">
        <f>IFERROR(_xlfn.XLOOKUP(--F155,[1]imagenes!$D:$D,[1]imagenes!$A:$A),"")</f>
        <v/>
      </c>
      <c r="B155" s="2" t="s">
        <v>32</v>
      </c>
      <c r="C155" s="2" t="s">
        <v>332</v>
      </c>
      <c r="D155" s="2" t="s">
        <v>134</v>
      </c>
      <c r="E155" s="2" t="s">
        <v>471</v>
      </c>
      <c r="F155" s="2" t="s">
        <v>484</v>
      </c>
      <c r="G155" s="2" t="s">
        <v>485</v>
      </c>
      <c r="H155" s="2" t="s">
        <v>486</v>
      </c>
      <c r="I155" s="3">
        <v>31.5</v>
      </c>
      <c r="J155" s="4">
        <v>120</v>
      </c>
      <c r="Q155" s="5">
        <v>13</v>
      </c>
      <c r="R155" s="5">
        <v>31</v>
      </c>
      <c r="S155" s="5">
        <v>42</v>
      </c>
      <c r="T155" s="5">
        <v>44</v>
      </c>
      <c r="U155" s="5">
        <v>50</v>
      </c>
      <c r="V155" s="5">
        <v>50</v>
      </c>
      <c r="W155" s="5">
        <v>50</v>
      </c>
      <c r="X155" s="5">
        <v>36</v>
      </c>
      <c r="Y155" s="5">
        <v>40</v>
      </c>
      <c r="Z155" s="5">
        <v>15</v>
      </c>
      <c r="AA155" s="5">
        <v>29</v>
      </c>
      <c r="AC155" s="5">
        <v>8</v>
      </c>
      <c r="AF155" s="7">
        <f t="shared" si="2"/>
        <v>408</v>
      </c>
    </row>
    <row r="156" spans="1:32" ht="15" customHeight="1" x14ac:dyDescent="0.25">
      <c r="A156" t="str">
        <f>IFERROR(_xlfn.XLOOKUP(--F156,[1]imagenes!$D:$D,[1]imagenes!$A:$A),"")</f>
        <v/>
      </c>
      <c r="B156" s="2" t="s">
        <v>32</v>
      </c>
      <c r="C156" s="2" t="s">
        <v>332</v>
      </c>
      <c r="D156" s="2" t="s">
        <v>134</v>
      </c>
      <c r="E156" s="2" t="s">
        <v>471</v>
      </c>
      <c r="F156" s="2" t="s">
        <v>487</v>
      </c>
      <c r="G156" s="2" t="s">
        <v>488</v>
      </c>
      <c r="H156" s="2" t="s">
        <v>69</v>
      </c>
      <c r="I156" s="3">
        <v>31.5</v>
      </c>
      <c r="J156" s="4">
        <v>120</v>
      </c>
      <c r="Q156" s="5">
        <v>19</v>
      </c>
      <c r="R156" s="5">
        <v>28</v>
      </c>
      <c r="S156" s="5">
        <v>44</v>
      </c>
      <c r="T156" s="5">
        <v>46</v>
      </c>
      <c r="U156" s="5">
        <v>50</v>
      </c>
      <c r="V156" s="5">
        <v>50</v>
      </c>
      <c r="W156" s="5">
        <v>50</v>
      </c>
      <c r="X156" s="5">
        <v>38</v>
      </c>
      <c r="Y156" s="5">
        <v>43</v>
      </c>
      <c r="Z156" s="5">
        <v>16</v>
      </c>
      <c r="AA156" s="5">
        <v>29</v>
      </c>
      <c r="AC156" s="5">
        <v>9</v>
      </c>
      <c r="AF156" s="7">
        <f t="shared" si="2"/>
        <v>422</v>
      </c>
    </row>
    <row r="157" spans="1:32" ht="15" customHeight="1" x14ac:dyDescent="0.25">
      <c r="A157" t="str">
        <f>IFERROR(_xlfn.XLOOKUP(--F157,[1]imagenes!$D:$D,[1]imagenes!$A:$A),"")</f>
        <v/>
      </c>
      <c r="B157" s="2" t="s">
        <v>32</v>
      </c>
      <c r="C157" s="2" t="s">
        <v>332</v>
      </c>
      <c r="D157" s="2" t="s">
        <v>134</v>
      </c>
      <c r="E157" s="2" t="s">
        <v>489</v>
      </c>
      <c r="F157" s="2" t="s">
        <v>490</v>
      </c>
      <c r="G157" s="2" t="s">
        <v>491</v>
      </c>
      <c r="H157" s="2" t="s">
        <v>492</v>
      </c>
      <c r="I157" s="3">
        <v>31.5</v>
      </c>
      <c r="J157" s="4">
        <v>120</v>
      </c>
      <c r="O157" s="5">
        <v>11</v>
      </c>
      <c r="P157" s="5">
        <v>21</v>
      </c>
      <c r="Q157" s="5">
        <v>50</v>
      </c>
      <c r="R157" s="5">
        <v>50</v>
      </c>
      <c r="S157" s="5">
        <v>50</v>
      </c>
      <c r="T157" s="5">
        <v>50</v>
      </c>
      <c r="U157" s="5">
        <v>50</v>
      </c>
      <c r="V157" s="5">
        <v>50</v>
      </c>
      <c r="W157" s="5">
        <v>50</v>
      </c>
      <c r="X157" s="5">
        <v>50</v>
      </c>
      <c r="Y157" s="5">
        <v>50</v>
      </c>
      <c r="Z157" s="5">
        <v>30</v>
      </c>
      <c r="AA157" s="5">
        <v>50</v>
      </c>
      <c r="AC157" s="5">
        <v>19</v>
      </c>
      <c r="AF157" s="7">
        <f t="shared" si="2"/>
        <v>581</v>
      </c>
    </row>
    <row r="158" spans="1:32" ht="15" customHeight="1" x14ac:dyDescent="0.25">
      <c r="A158" t="str">
        <f>IFERROR(_xlfn.XLOOKUP(--F158,[1]imagenes!$D:$D,[1]imagenes!$A:$A),"")</f>
        <v/>
      </c>
      <c r="B158" s="2" t="s">
        <v>32</v>
      </c>
      <c r="C158" s="2" t="s">
        <v>332</v>
      </c>
      <c r="D158" s="2" t="s">
        <v>134</v>
      </c>
      <c r="E158" s="2" t="s">
        <v>489</v>
      </c>
      <c r="F158" s="2" t="s">
        <v>493</v>
      </c>
      <c r="G158" s="2" t="s">
        <v>494</v>
      </c>
      <c r="H158" s="2" t="s">
        <v>495</v>
      </c>
      <c r="I158" s="3">
        <v>31.5</v>
      </c>
      <c r="J158" s="4">
        <v>120</v>
      </c>
      <c r="P158" s="5">
        <v>25</v>
      </c>
      <c r="Q158" s="5">
        <v>31</v>
      </c>
      <c r="R158" s="5">
        <v>50</v>
      </c>
      <c r="S158" s="5">
        <v>50</v>
      </c>
      <c r="T158" s="5">
        <v>50</v>
      </c>
      <c r="U158" s="5">
        <v>50</v>
      </c>
      <c r="V158" s="5">
        <v>50</v>
      </c>
      <c r="W158" s="5">
        <v>50</v>
      </c>
      <c r="X158" s="5">
        <v>50</v>
      </c>
      <c r="Y158" s="5">
        <v>50</v>
      </c>
      <c r="Z158" s="5">
        <v>23</v>
      </c>
      <c r="AA158" s="5">
        <v>43</v>
      </c>
      <c r="AC158" s="5">
        <v>33</v>
      </c>
      <c r="AF158" s="7">
        <f t="shared" si="2"/>
        <v>555</v>
      </c>
    </row>
    <row r="159" spans="1:32" ht="15" customHeight="1" x14ac:dyDescent="0.25">
      <c r="A159" t="str">
        <f>IFERROR(_xlfn.XLOOKUP(--F159,[1]imagenes!$D:$D,[1]imagenes!$A:$A),"")</f>
        <v/>
      </c>
      <c r="B159" s="2" t="s">
        <v>32</v>
      </c>
      <c r="C159" s="2" t="s">
        <v>332</v>
      </c>
      <c r="D159" s="2" t="s">
        <v>134</v>
      </c>
      <c r="E159" s="2" t="s">
        <v>496</v>
      </c>
      <c r="F159" s="2" t="s">
        <v>497</v>
      </c>
      <c r="G159" s="2" t="s">
        <v>498</v>
      </c>
      <c r="H159" s="2" t="s">
        <v>499</v>
      </c>
      <c r="I159" s="3">
        <v>32</v>
      </c>
      <c r="J159" s="4">
        <v>125</v>
      </c>
      <c r="O159" s="5">
        <v>9</v>
      </c>
      <c r="P159" s="5">
        <v>13</v>
      </c>
      <c r="Q159" s="5">
        <v>7</v>
      </c>
      <c r="R159" s="5">
        <v>25</v>
      </c>
      <c r="S159" s="5">
        <v>46</v>
      </c>
      <c r="T159" s="5">
        <v>50</v>
      </c>
      <c r="U159" s="5">
        <v>50</v>
      </c>
      <c r="V159" s="5">
        <v>50</v>
      </c>
      <c r="W159" s="5">
        <v>50</v>
      </c>
      <c r="X159" s="5">
        <v>50</v>
      </c>
      <c r="Y159" s="5">
        <v>50</v>
      </c>
      <c r="AA159" s="5">
        <v>33</v>
      </c>
      <c r="AC159" s="5">
        <v>12</v>
      </c>
      <c r="AF159" s="7">
        <f t="shared" si="2"/>
        <v>445</v>
      </c>
    </row>
    <row r="160" spans="1:32" ht="15" customHeight="1" x14ac:dyDescent="0.25">
      <c r="A160" t="str">
        <f>IFERROR(_xlfn.XLOOKUP(--F160,[1]imagenes!$D:$D,[1]imagenes!$A:$A),"")</f>
        <v/>
      </c>
      <c r="B160" s="2" t="s">
        <v>32</v>
      </c>
      <c r="C160" s="2" t="s">
        <v>332</v>
      </c>
      <c r="D160" s="2" t="s">
        <v>134</v>
      </c>
      <c r="E160" s="2" t="s">
        <v>496</v>
      </c>
      <c r="F160" s="2" t="s">
        <v>500</v>
      </c>
      <c r="G160" s="2" t="s">
        <v>501</v>
      </c>
      <c r="H160" s="2" t="s">
        <v>486</v>
      </c>
      <c r="I160" s="3">
        <v>32</v>
      </c>
      <c r="J160" s="4">
        <v>125</v>
      </c>
      <c r="O160" s="5">
        <v>9</v>
      </c>
      <c r="P160" s="5">
        <v>19</v>
      </c>
      <c r="Q160" s="5">
        <v>50</v>
      </c>
      <c r="R160" s="5">
        <v>50</v>
      </c>
      <c r="S160" s="5">
        <v>50</v>
      </c>
      <c r="T160" s="5">
        <v>50</v>
      </c>
      <c r="U160" s="5">
        <v>50</v>
      </c>
      <c r="V160" s="5">
        <v>50</v>
      </c>
      <c r="W160" s="5">
        <v>50</v>
      </c>
      <c r="X160" s="5">
        <v>50</v>
      </c>
      <c r="Y160" s="5">
        <v>50</v>
      </c>
      <c r="Z160" s="5">
        <v>34</v>
      </c>
      <c r="AA160" s="5">
        <v>50</v>
      </c>
      <c r="AC160" s="5">
        <v>21</v>
      </c>
      <c r="AF160" s="7">
        <f t="shared" si="2"/>
        <v>583</v>
      </c>
    </row>
    <row r="161" spans="1:32" ht="15" customHeight="1" x14ac:dyDescent="0.25">
      <c r="A161" t="str">
        <f>IFERROR(_xlfn.XLOOKUP(--F161,[1]imagenes!$D:$D,[1]imagenes!$A:$A),"")</f>
        <v/>
      </c>
      <c r="B161" s="2" t="s">
        <v>32</v>
      </c>
      <c r="C161" s="2" t="s">
        <v>502</v>
      </c>
      <c r="D161" s="2" t="s">
        <v>34</v>
      </c>
      <c r="E161" s="2" t="s">
        <v>503</v>
      </c>
      <c r="F161" s="2" t="s">
        <v>504</v>
      </c>
      <c r="G161" s="2" t="s">
        <v>505</v>
      </c>
      <c r="H161" s="2" t="s">
        <v>506</v>
      </c>
      <c r="I161" s="3">
        <v>49.75</v>
      </c>
      <c r="J161" s="4">
        <v>160</v>
      </c>
      <c r="S161" s="5">
        <v>9</v>
      </c>
      <c r="T161" s="5">
        <v>13</v>
      </c>
      <c r="U161" s="5">
        <v>11</v>
      </c>
      <c r="V161" s="5">
        <v>50</v>
      </c>
      <c r="W161" s="5">
        <v>50</v>
      </c>
      <c r="X161" s="5">
        <v>50</v>
      </c>
      <c r="Y161" s="5">
        <v>50</v>
      </c>
      <c r="Z161" s="5">
        <v>50</v>
      </c>
      <c r="AA161" s="5">
        <v>50</v>
      </c>
      <c r="AB161" s="5">
        <v>50</v>
      </c>
      <c r="AC161" s="5">
        <v>50</v>
      </c>
      <c r="AD161" s="5">
        <v>31</v>
      </c>
      <c r="AE161" s="6">
        <v>65</v>
      </c>
      <c r="AF161" s="7">
        <f t="shared" si="2"/>
        <v>464</v>
      </c>
    </row>
    <row r="162" spans="1:32" ht="15" customHeight="1" x14ac:dyDescent="0.25">
      <c r="A162" t="str">
        <f>IFERROR(_xlfn.XLOOKUP(--F162,[1]imagenes!$D:$D,[1]imagenes!$A:$A),"")</f>
        <v/>
      </c>
      <c r="B162" s="2" t="s">
        <v>32</v>
      </c>
      <c r="C162" s="2" t="s">
        <v>502</v>
      </c>
      <c r="D162" s="2" t="s">
        <v>34</v>
      </c>
      <c r="E162" s="2" t="s">
        <v>503</v>
      </c>
      <c r="F162" s="2" t="s">
        <v>507</v>
      </c>
      <c r="G162" s="2" t="s">
        <v>508</v>
      </c>
      <c r="H162" s="2" t="s">
        <v>509</v>
      </c>
      <c r="I162" s="3">
        <v>49.75</v>
      </c>
      <c r="J162" s="4">
        <v>160</v>
      </c>
      <c r="U162" s="5">
        <v>7</v>
      </c>
      <c r="W162" s="5">
        <v>45</v>
      </c>
      <c r="Y162" s="5">
        <v>50</v>
      </c>
      <c r="Z162" s="5">
        <v>50</v>
      </c>
      <c r="AA162" s="5">
        <v>50</v>
      </c>
      <c r="AB162" s="5">
        <v>50</v>
      </c>
      <c r="AC162" s="5">
        <v>50</v>
      </c>
      <c r="AD162" s="5">
        <v>24</v>
      </c>
      <c r="AE162" s="6">
        <v>9</v>
      </c>
      <c r="AF162" s="7">
        <f t="shared" si="2"/>
        <v>326</v>
      </c>
    </row>
    <row r="163" spans="1:32" ht="15" customHeight="1" x14ac:dyDescent="0.25">
      <c r="A163" t="str">
        <f>IFERROR(_xlfn.XLOOKUP(--F163,[1]imagenes!$D:$D,[1]imagenes!$A:$A),"")</f>
        <v/>
      </c>
      <c r="B163" s="2" t="s">
        <v>32</v>
      </c>
      <c r="C163" s="2" t="s">
        <v>502</v>
      </c>
      <c r="D163" s="2" t="s">
        <v>34</v>
      </c>
      <c r="E163" s="2" t="s">
        <v>503</v>
      </c>
      <c r="F163" s="2" t="s">
        <v>510</v>
      </c>
      <c r="G163" s="2" t="s">
        <v>511</v>
      </c>
      <c r="H163" s="2" t="s">
        <v>512</v>
      </c>
      <c r="I163" s="3">
        <v>49.75</v>
      </c>
      <c r="J163" s="4">
        <v>160</v>
      </c>
      <c r="V163" s="5">
        <v>9</v>
      </c>
      <c r="W163" s="5">
        <v>31</v>
      </c>
      <c r="X163" s="5">
        <v>50</v>
      </c>
      <c r="Y163" s="5">
        <v>50</v>
      </c>
      <c r="Z163" s="5">
        <v>50</v>
      </c>
      <c r="AA163" s="5">
        <v>50</v>
      </c>
      <c r="AB163" s="5">
        <v>28</v>
      </c>
      <c r="AC163" s="5">
        <v>43</v>
      </c>
      <c r="AD163" s="5">
        <v>39</v>
      </c>
      <c r="AE163" s="6">
        <v>11</v>
      </c>
      <c r="AF163" s="7">
        <f t="shared" si="2"/>
        <v>350</v>
      </c>
    </row>
    <row r="164" spans="1:32" ht="15" customHeight="1" x14ac:dyDescent="0.25">
      <c r="A164" t="str">
        <f>IFERROR(_xlfn.XLOOKUP(--F164,[1]imagenes!$D:$D,[1]imagenes!$A:$A),"")</f>
        <v/>
      </c>
      <c r="B164" s="2" t="s">
        <v>32</v>
      </c>
      <c r="C164" s="2" t="s">
        <v>502</v>
      </c>
      <c r="D164" s="2" t="s">
        <v>34</v>
      </c>
      <c r="E164" s="2" t="s">
        <v>503</v>
      </c>
      <c r="F164" s="2" t="s">
        <v>513</v>
      </c>
      <c r="G164" s="2" t="s">
        <v>514</v>
      </c>
      <c r="H164" s="2" t="s">
        <v>515</v>
      </c>
      <c r="I164" s="3">
        <v>49.75</v>
      </c>
      <c r="J164" s="4">
        <v>160</v>
      </c>
      <c r="U164" s="5">
        <v>29</v>
      </c>
      <c r="V164" s="5">
        <v>33</v>
      </c>
      <c r="W164" s="5">
        <v>38</v>
      </c>
      <c r="X164" s="5">
        <v>39</v>
      </c>
      <c r="Y164" s="5">
        <v>50</v>
      </c>
      <c r="Z164" s="5">
        <v>45</v>
      </c>
      <c r="AA164" s="5">
        <v>38</v>
      </c>
      <c r="AB164" s="5">
        <v>44</v>
      </c>
      <c r="AC164" s="5">
        <v>41</v>
      </c>
      <c r="AD164" s="5">
        <v>14</v>
      </c>
      <c r="AE164" s="6">
        <v>13</v>
      </c>
      <c r="AF164" s="7">
        <f t="shared" si="2"/>
        <v>371</v>
      </c>
    </row>
    <row r="165" spans="1:32" ht="15" customHeight="1" x14ac:dyDescent="0.25">
      <c r="A165" t="str">
        <f>IFERROR(_xlfn.XLOOKUP(--F165,[1]imagenes!$D:$D,[1]imagenes!$A:$A),"")</f>
        <v/>
      </c>
      <c r="B165" s="2" t="s">
        <v>32</v>
      </c>
      <c r="C165" s="2" t="s">
        <v>502</v>
      </c>
      <c r="D165" s="2" t="s">
        <v>34</v>
      </c>
      <c r="E165" s="2" t="s">
        <v>503</v>
      </c>
      <c r="F165" s="2" t="s">
        <v>516</v>
      </c>
      <c r="G165" s="2" t="s">
        <v>517</v>
      </c>
      <c r="H165" s="2" t="s">
        <v>518</v>
      </c>
      <c r="I165" s="3">
        <v>49.75</v>
      </c>
      <c r="J165" s="4">
        <v>160</v>
      </c>
      <c r="W165" s="5">
        <v>39</v>
      </c>
      <c r="X165" s="5">
        <v>50</v>
      </c>
      <c r="Y165" s="5">
        <v>50</v>
      </c>
      <c r="Z165" s="5">
        <v>45</v>
      </c>
      <c r="AA165" s="5">
        <v>50</v>
      </c>
      <c r="AB165" s="5">
        <v>50</v>
      </c>
      <c r="AC165" s="5">
        <v>31</v>
      </c>
      <c r="AD165" s="5">
        <v>34</v>
      </c>
      <c r="AF165" s="7">
        <f t="shared" si="2"/>
        <v>349</v>
      </c>
    </row>
    <row r="166" spans="1:32" ht="15" customHeight="1" x14ac:dyDescent="0.25">
      <c r="A166" t="str">
        <f>IFERROR(_xlfn.XLOOKUP(--F166,[1]imagenes!$D:$D,[1]imagenes!$A:$A),"")</f>
        <v/>
      </c>
      <c r="B166" s="2" t="s">
        <v>32</v>
      </c>
      <c r="C166" s="2" t="s">
        <v>502</v>
      </c>
      <c r="D166" s="2" t="s">
        <v>34</v>
      </c>
      <c r="E166" s="2" t="s">
        <v>519</v>
      </c>
      <c r="F166" s="2" t="s">
        <v>520</v>
      </c>
      <c r="G166" s="2" t="s">
        <v>521</v>
      </c>
      <c r="H166" s="2" t="s">
        <v>522</v>
      </c>
      <c r="I166" s="3">
        <v>27</v>
      </c>
      <c r="J166" s="4">
        <v>150</v>
      </c>
      <c r="V166" s="5">
        <v>30</v>
      </c>
      <c r="W166" s="5">
        <v>37</v>
      </c>
      <c r="X166" s="5">
        <v>50</v>
      </c>
      <c r="Y166" s="5">
        <v>50</v>
      </c>
      <c r="Z166" s="5">
        <v>50</v>
      </c>
      <c r="AA166" s="5">
        <v>50</v>
      </c>
      <c r="AB166" s="5">
        <v>48</v>
      </c>
      <c r="AC166" s="5">
        <v>50</v>
      </c>
      <c r="AD166" s="5">
        <v>33</v>
      </c>
      <c r="AF166" s="7">
        <f t="shared" si="2"/>
        <v>398</v>
      </c>
    </row>
    <row r="167" spans="1:32" ht="15" customHeight="1" x14ac:dyDescent="0.25">
      <c r="A167" t="str">
        <f>IFERROR(_xlfn.XLOOKUP(--F167,[1]imagenes!$D:$D,[1]imagenes!$A:$A),"")</f>
        <v/>
      </c>
      <c r="B167" s="2" t="s">
        <v>32</v>
      </c>
      <c r="C167" s="2" t="s">
        <v>502</v>
      </c>
      <c r="D167" s="2" t="s">
        <v>34</v>
      </c>
      <c r="E167" s="2" t="s">
        <v>519</v>
      </c>
      <c r="F167" s="2" t="s">
        <v>523</v>
      </c>
      <c r="G167" s="2" t="s">
        <v>524</v>
      </c>
      <c r="H167" s="2" t="s">
        <v>525</v>
      </c>
      <c r="I167" s="3">
        <v>27</v>
      </c>
      <c r="J167" s="4">
        <v>150</v>
      </c>
      <c r="W167" s="5">
        <v>15</v>
      </c>
      <c r="X167" s="5">
        <v>39</v>
      </c>
      <c r="Y167" s="5">
        <v>50</v>
      </c>
      <c r="Z167" s="5">
        <v>48</v>
      </c>
      <c r="AA167" s="5">
        <v>50</v>
      </c>
      <c r="AB167" s="5">
        <v>27</v>
      </c>
      <c r="AC167" s="5">
        <v>50</v>
      </c>
      <c r="AD167" s="5">
        <v>49</v>
      </c>
      <c r="AE167" s="6">
        <v>22</v>
      </c>
      <c r="AF167" s="7">
        <f t="shared" si="2"/>
        <v>328</v>
      </c>
    </row>
    <row r="168" spans="1:32" ht="15" customHeight="1" x14ac:dyDescent="0.25">
      <c r="A168" t="str">
        <f>IFERROR(_xlfn.XLOOKUP(--F168,[1]imagenes!$D:$D,[1]imagenes!$A:$A),"")</f>
        <v/>
      </c>
      <c r="B168" s="2" t="s">
        <v>32</v>
      </c>
      <c r="C168" s="2" t="s">
        <v>502</v>
      </c>
      <c r="D168" s="2" t="s">
        <v>34</v>
      </c>
      <c r="E168" s="2" t="s">
        <v>519</v>
      </c>
      <c r="F168" s="2" t="s">
        <v>526</v>
      </c>
      <c r="G168" s="2" t="s">
        <v>527</v>
      </c>
      <c r="H168" s="2" t="s">
        <v>528</v>
      </c>
      <c r="I168" s="3">
        <v>27</v>
      </c>
      <c r="J168" s="4">
        <v>150</v>
      </c>
      <c r="V168" s="5">
        <v>15</v>
      </c>
      <c r="W168" s="5">
        <v>18</v>
      </c>
      <c r="X168" s="5">
        <v>26</v>
      </c>
      <c r="Y168" s="5">
        <v>31</v>
      </c>
      <c r="Z168" s="5">
        <v>34</v>
      </c>
      <c r="AA168" s="5">
        <v>43</v>
      </c>
      <c r="AB168" s="5">
        <v>23</v>
      </c>
      <c r="AC168" s="5">
        <v>34</v>
      </c>
      <c r="AD168" s="5">
        <v>27</v>
      </c>
      <c r="AE168" s="6">
        <v>7</v>
      </c>
      <c r="AF168" s="7">
        <f t="shared" si="2"/>
        <v>251</v>
      </c>
    </row>
    <row r="169" spans="1:32" ht="15" customHeight="1" x14ac:dyDescent="0.25">
      <c r="A169" t="str">
        <f>IFERROR(_xlfn.XLOOKUP(--F169,[1]imagenes!$D:$D,[1]imagenes!$A:$A),"")</f>
        <v/>
      </c>
      <c r="B169" s="2" t="s">
        <v>32</v>
      </c>
      <c r="C169" s="2" t="s">
        <v>502</v>
      </c>
      <c r="D169" s="2" t="s">
        <v>34</v>
      </c>
      <c r="E169" s="2" t="s">
        <v>529</v>
      </c>
      <c r="F169" s="2" t="s">
        <v>530</v>
      </c>
      <c r="G169" s="2" t="s">
        <v>531</v>
      </c>
      <c r="H169" s="2" t="s">
        <v>140</v>
      </c>
      <c r="I169" s="3">
        <v>47</v>
      </c>
      <c r="J169" s="4">
        <v>150</v>
      </c>
      <c r="AE169" s="6">
        <v>307</v>
      </c>
      <c r="AF169" s="7">
        <f t="shared" si="2"/>
        <v>0</v>
      </c>
    </row>
    <row r="170" spans="1:32" ht="15" customHeight="1" x14ac:dyDescent="0.25">
      <c r="A170" t="str">
        <f>IFERROR(_xlfn.XLOOKUP(--F170,[1]imagenes!$D:$D,[1]imagenes!$A:$A),"")</f>
        <v/>
      </c>
      <c r="B170" s="2" t="s">
        <v>32</v>
      </c>
      <c r="C170" s="2" t="s">
        <v>502</v>
      </c>
      <c r="D170" s="2" t="s">
        <v>34</v>
      </c>
      <c r="E170" s="2" t="s">
        <v>532</v>
      </c>
      <c r="F170" s="2" t="s">
        <v>533</v>
      </c>
      <c r="G170" s="2" t="s">
        <v>534</v>
      </c>
      <c r="H170" s="2" t="s">
        <v>535</v>
      </c>
      <c r="I170" s="3">
        <v>57.5</v>
      </c>
      <c r="J170" s="4">
        <v>190</v>
      </c>
      <c r="T170" s="5">
        <v>7</v>
      </c>
      <c r="U170" s="5">
        <v>34</v>
      </c>
      <c r="V170" s="5">
        <v>27</v>
      </c>
      <c r="W170" s="5">
        <v>50</v>
      </c>
      <c r="X170" s="5">
        <v>50</v>
      </c>
      <c r="Y170" s="5">
        <v>50</v>
      </c>
      <c r="Z170" s="5">
        <v>50</v>
      </c>
      <c r="AA170" s="5">
        <v>50</v>
      </c>
      <c r="AB170" s="5">
        <v>50</v>
      </c>
      <c r="AC170" s="5">
        <v>50</v>
      </c>
      <c r="AD170" s="5">
        <v>50</v>
      </c>
      <c r="AE170" s="6">
        <v>26</v>
      </c>
      <c r="AF170" s="7">
        <f t="shared" si="2"/>
        <v>468</v>
      </c>
    </row>
    <row r="171" spans="1:32" ht="15" customHeight="1" x14ac:dyDescent="0.25">
      <c r="A171" t="str">
        <f>IFERROR(_xlfn.XLOOKUP(--F171,[1]imagenes!$D:$D,[1]imagenes!$A:$A),"")</f>
        <v/>
      </c>
      <c r="B171" s="2" t="s">
        <v>32</v>
      </c>
      <c r="C171" s="2" t="s">
        <v>502</v>
      </c>
      <c r="D171" s="2" t="s">
        <v>34</v>
      </c>
      <c r="E171" s="2" t="s">
        <v>536</v>
      </c>
      <c r="F171" s="2" t="s">
        <v>537</v>
      </c>
      <c r="G171" s="2" t="s">
        <v>538</v>
      </c>
      <c r="H171" s="2" t="s">
        <v>79</v>
      </c>
      <c r="I171" s="3">
        <v>58.5</v>
      </c>
      <c r="J171" s="4">
        <v>190</v>
      </c>
      <c r="S171" s="5">
        <v>17</v>
      </c>
      <c r="T171" s="5">
        <v>23</v>
      </c>
      <c r="U171" s="5">
        <v>50</v>
      </c>
      <c r="V171" s="5">
        <v>50</v>
      </c>
      <c r="W171" s="5">
        <v>50</v>
      </c>
      <c r="X171" s="5">
        <v>50</v>
      </c>
      <c r="Y171" s="5">
        <v>50</v>
      </c>
      <c r="Z171" s="5">
        <v>50</v>
      </c>
      <c r="AA171" s="5">
        <v>50</v>
      </c>
      <c r="AB171" s="5">
        <v>50</v>
      </c>
      <c r="AC171" s="5">
        <v>50</v>
      </c>
      <c r="AD171" s="5">
        <v>50</v>
      </c>
      <c r="AE171" s="6">
        <v>78</v>
      </c>
      <c r="AF171" s="7">
        <f t="shared" si="2"/>
        <v>540</v>
      </c>
    </row>
    <row r="172" spans="1:32" ht="15" customHeight="1" x14ac:dyDescent="0.25">
      <c r="A172" t="str">
        <f>IFERROR(_xlfn.XLOOKUP(--F172,[1]imagenes!$D:$D,[1]imagenes!$A:$A),"")</f>
        <v/>
      </c>
      <c r="B172" s="2" t="s">
        <v>32</v>
      </c>
      <c r="C172" s="2" t="s">
        <v>502</v>
      </c>
      <c r="D172" s="2" t="s">
        <v>34</v>
      </c>
      <c r="E172" s="2" t="s">
        <v>536</v>
      </c>
      <c r="F172" s="2" t="s">
        <v>539</v>
      </c>
      <c r="G172" s="2" t="s">
        <v>540</v>
      </c>
      <c r="H172" s="2" t="s">
        <v>541</v>
      </c>
      <c r="I172" s="3">
        <v>58.5</v>
      </c>
      <c r="J172" s="4">
        <v>190</v>
      </c>
      <c r="S172" s="5">
        <v>7</v>
      </c>
      <c r="T172" s="5">
        <v>9</v>
      </c>
      <c r="U172" s="5">
        <v>13</v>
      </c>
      <c r="V172" s="5">
        <v>26</v>
      </c>
      <c r="W172" s="5">
        <v>29</v>
      </c>
      <c r="X172" s="5">
        <v>35</v>
      </c>
      <c r="Y172" s="5">
        <v>46</v>
      </c>
      <c r="Z172" s="5">
        <v>40</v>
      </c>
      <c r="AA172" s="5">
        <v>46</v>
      </c>
      <c r="AB172" s="5">
        <v>33</v>
      </c>
      <c r="AC172" s="5">
        <v>31</v>
      </c>
      <c r="AD172" s="5">
        <v>28</v>
      </c>
      <c r="AE172" s="6">
        <v>9</v>
      </c>
      <c r="AF172" s="7">
        <f t="shared" si="2"/>
        <v>343</v>
      </c>
    </row>
    <row r="173" spans="1:32" ht="15" customHeight="1" x14ac:dyDescent="0.25">
      <c r="A173" t="str">
        <f>IFERROR(_xlfn.XLOOKUP(--F173,[1]imagenes!$D:$D,[1]imagenes!$A:$A),"")</f>
        <v/>
      </c>
      <c r="B173" s="2" t="s">
        <v>32</v>
      </c>
      <c r="C173" s="2" t="s">
        <v>502</v>
      </c>
      <c r="D173" s="2" t="s">
        <v>34</v>
      </c>
      <c r="E173" s="2" t="s">
        <v>536</v>
      </c>
      <c r="F173" s="2" t="s">
        <v>542</v>
      </c>
      <c r="G173" s="2" t="s">
        <v>543</v>
      </c>
      <c r="H173" s="2" t="s">
        <v>544</v>
      </c>
      <c r="I173" s="3">
        <v>58.5</v>
      </c>
      <c r="J173" s="4">
        <v>190</v>
      </c>
      <c r="S173" s="5">
        <v>18</v>
      </c>
      <c r="T173" s="5">
        <v>19</v>
      </c>
      <c r="U173" s="5">
        <v>50</v>
      </c>
      <c r="V173" s="5">
        <v>50</v>
      </c>
      <c r="W173" s="5">
        <v>50</v>
      </c>
      <c r="X173" s="5">
        <v>50</v>
      </c>
      <c r="Y173" s="5">
        <v>50</v>
      </c>
      <c r="Z173" s="5">
        <v>50</v>
      </c>
      <c r="AA173" s="5">
        <v>50</v>
      </c>
      <c r="AB173" s="5">
        <v>50</v>
      </c>
      <c r="AC173" s="5">
        <v>50</v>
      </c>
      <c r="AD173" s="5">
        <v>50</v>
      </c>
      <c r="AE173" s="6">
        <v>77</v>
      </c>
      <c r="AF173" s="7">
        <f t="shared" si="2"/>
        <v>537</v>
      </c>
    </row>
    <row r="174" spans="1:32" ht="15" customHeight="1" x14ac:dyDescent="0.25">
      <c r="A174" t="str">
        <f>IFERROR(_xlfn.XLOOKUP(--F174,[1]imagenes!$D:$D,[1]imagenes!$A:$A),"")</f>
        <v/>
      </c>
      <c r="B174" s="2" t="s">
        <v>32</v>
      </c>
      <c r="C174" s="2" t="s">
        <v>502</v>
      </c>
      <c r="D174" s="2" t="s">
        <v>34</v>
      </c>
      <c r="E174" s="2" t="s">
        <v>545</v>
      </c>
      <c r="F174" s="2" t="s">
        <v>546</v>
      </c>
      <c r="G174" s="2" t="s">
        <v>547</v>
      </c>
      <c r="H174" s="2" t="s">
        <v>79</v>
      </c>
      <c r="I174" s="3">
        <v>58.5</v>
      </c>
      <c r="J174" s="4">
        <v>190</v>
      </c>
      <c r="AE174" s="6">
        <v>389</v>
      </c>
      <c r="AF174" s="7">
        <f t="shared" si="2"/>
        <v>0</v>
      </c>
    </row>
    <row r="175" spans="1:32" ht="15" customHeight="1" x14ac:dyDescent="0.25">
      <c r="A175" t="str">
        <f>IFERROR(_xlfn.XLOOKUP(--F175,[1]imagenes!$D:$D,[1]imagenes!$A:$A),"")</f>
        <v/>
      </c>
      <c r="B175" s="2" t="s">
        <v>32</v>
      </c>
      <c r="C175" s="2" t="s">
        <v>502</v>
      </c>
      <c r="D175" s="2" t="s">
        <v>34</v>
      </c>
      <c r="E175" s="2" t="s">
        <v>545</v>
      </c>
      <c r="F175" s="2" t="s">
        <v>548</v>
      </c>
      <c r="G175" s="2" t="s">
        <v>549</v>
      </c>
      <c r="H175" s="2" t="s">
        <v>544</v>
      </c>
      <c r="I175" s="3">
        <v>58.5</v>
      </c>
      <c r="J175" s="4">
        <v>190</v>
      </c>
      <c r="AE175" s="6">
        <v>302</v>
      </c>
      <c r="AF175" s="7">
        <f t="shared" si="2"/>
        <v>0</v>
      </c>
    </row>
    <row r="176" spans="1:32" ht="15" customHeight="1" x14ac:dyDescent="0.25">
      <c r="A176" t="str">
        <f>IFERROR(_xlfn.XLOOKUP(--F176,[1]imagenes!$D:$D,[1]imagenes!$A:$A),"")</f>
        <v/>
      </c>
      <c r="B176" s="2" t="s">
        <v>32</v>
      </c>
      <c r="C176" s="2" t="s">
        <v>502</v>
      </c>
      <c r="D176" s="2" t="s">
        <v>34</v>
      </c>
      <c r="E176" s="2" t="s">
        <v>550</v>
      </c>
      <c r="F176" s="2" t="s">
        <v>551</v>
      </c>
      <c r="G176" s="2" t="s">
        <v>552</v>
      </c>
      <c r="H176" s="2" t="s">
        <v>553</v>
      </c>
      <c r="I176" s="3">
        <v>55.5</v>
      </c>
      <c r="J176" s="4">
        <v>180</v>
      </c>
      <c r="U176" s="5">
        <v>27</v>
      </c>
      <c r="V176" s="5">
        <v>47</v>
      </c>
      <c r="W176" s="5">
        <v>50</v>
      </c>
      <c r="X176" s="5">
        <v>50</v>
      </c>
      <c r="Y176" s="5">
        <v>50</v>
      </c>
      <c r="Z176" s="5">
        <v>50</v>
      </c>
      <c r="AA176" s="5">
        <v>50</v>
      </c>
      <c r="AB176" s="5">
        <v>34</v>
      </c>
      <c r="AC176" s="5">
        <v>50</v>
      </c>
      <c r="AD176" s="5">
        <v>50</v>
      </c>
      <c r="AE176" s="6">
        <v>30</v>
      </c>
      <c r="AF176" s="7">
        <f t="shared" si="2"/>
        <v>458</v>
      </c>
    </row>
    <row r="177" spans="1:32" ht="15" customHeight="1" x14ac:dyDescent="0.25">
      <c r="A177" t="str">
        <f>IFERROR(_xlfn.XLOOKUP(--F177,[1]imagenes!$D:$D,[1]imagenes!$A:$A),"")</f>
        <v/>
      </c>
      <c r="B177" s="2" t="s">
        <v>32</v>
      </c>
      <c r="C177" s="2" t="s">
        <v>502</v>
      </c>
      <c r="D177" s="2" t="s">
        <v>34</v>
      </c>
      <c r="E177" s="2" t="s">
        <v>550</v>
      </c>
      <c r="F177" s="2" t="s">
        <v>554</v>
      </c>
      <c r="G177" s="2" t="s">
        <v>555</v>
      </c>
      <c r="H177" s="2" t="s">
        <v>556</v>
      </c>
      <c r="I177" s="3">
        <v>55.5</v>
      </c>
      <c r="J177" s="4">
        <v>180</v>
      </c>
      <c r="S177" s="5">
        <v>33</v>
      </c>
      <c r="T177" s="5">
        <v>23</v>
      </c>
      <c r="U177" s="5">
        <v>50</v>
      </c>
      <c r="V177" s="5">
        <v>50</v>
      </c>
      <c r="W177" s="5">
        <v>15</v>
      </c>
      <c r="X177" s="5">
        <v>50</v>
      </c>
      <c r="Y177" s="5">
        <v>50</v>
      </c>
      <c r="Z177" s="5">
        <v>50</v>
      </c>
      <c r="AA177" s="5">
        <v>50</v>
      </c>
      <c r="AB177" s="5">
        <v>35</v>
      </c>
      <c r="AC177" s="5">
        <v>21</v>
      </c>
      <c r="AE177" s="6">
        <v>66</v>
      </c>
      <c r="AF177" s="7">
        <f t="shared" si="2"/>
        <v>427</v>
      </c>
    </row>
    <row r="178" spans="1:32" ht="15" customHeight="1" x14ac:dyDescent="0.25">
      <c r="A178" t="str">
        <f>IFERROR(_xlfn.XLOOKUP(--F178,[1]imagenes!$D:$D,[1]imagenes!$A:$A),"")</f>
        <v/>
      </c>
      <c r="B178" s="2" t="s">
        <v>32</v>
      </c>
      <c r="C178" s="2" t="s">
        <v>502</v>
      </c>
      <c r="D178" s="2" t="s">
        <v>34</v>
      </c>
      <c r="E178" s="2" t="s">
        <v>550</v>
      </c>
      <c r="F178" s="2" t="s">
        <v>557</v>
      </c>
      <c r="G178" s="2" t="s">
        <v>558</v>
      </c>
      <c r="H178" s="2" t="s">
        <v>79</v>
      </c>
      <c r="I178" s="3">
        <v>55.5</v>
      </c>
      <c r="J178" s="4">
        <v>180</v>
      </c>
      <c r="U178" s="5">
        <v>14</v>
      </c>
      <c r="V178" s="5">
        <v>23</v>
      </c>
      <c r="W178" s="5">
        <v>33</v>
      </c>
      <c r="X178" s="5">
        <v>40</v>
      </c>
      <c r="Y178" s="5">
        <v>44</v>
      </c>
      <c r="Z178" s="5">
        <v>47</v>
      </c>
      <c r="AA178" s="5">
        <v>50</v>
      </c>
      <c r="AB178" s="5">
        <v>30</v>
      </c>
      <c r="AC178" s="5">
        <v>34</v>
      </c>
      <c r="AD178" s="5">
        <v>25</v>
      </c>
      <c r="AE178" s="6">
        <v>11</v>
      </c>
      <c r="AF178" s="7">
        <f t="shared" si="2"/>
        <v>340</v>
      </c>
    </row>
    <row r="179" spans="1:32" ht="15" customHeight="1" x14ac:dyDescent="0.25">
      <c r="A179" t="str">
        <f>IFERROR(_xlfn.XLOOKUP(--F179,[1]imagenes!$D:$D,[1]imagenes!$A:$A),"")</f>
        <v/>
      </c>
      <c r="B179" s="2" t="s">
        <v>32</v>
      </c>
      <c r="C179" s="2" t="s">
        <v>502</v>
      </c>
      <c r="D179" s="2" t="s">
        <v>34</v>
      </c>
      <c r="E179" s="2" t="s">
        <v>550</v>
      </c>
      <c r="F179" s="2" t="s">
        <v>559</v>
      </c>
      <c r="G179" s="2" t="s">
        <v>560</v>
      </c>
      <c r="H179" s="2" t="s">
        <v>363</v>
      </c>
      <c r="I179" s="3">
        <v>55.5</v>
      </c>
      <c r="J179" s="4">
        <v>180</v>
      </c>
      <c r="U179" s="5">
        <v>21</v>
      </c>
      <c r="V179" s="5">
        <v>32</v>
      </c>
      <c r="W179" s="5">
        <v>35</v>
      </c>
      <c r="X179" s="5">
        <v>40</v>
      </c>
      <c r="Y179" s="5">
        <v>50</v>
      </c>
      <c r="Z179" s="5">
        <v>50</v>
      </c>
      <c r="AA179" s="5">
        <v>50</v>
      </c>
      <c r="AB179" s="5">
        <v>39</v>
      </c>
      <c r="AC179" s="5">
        <v>44</v>
      </c>
      <c r="AD179" s="5">
        <v>39</v>
      </c>
      <c r="AE179" s="6">
        <v>19</v>
      </c>
      <c r="AF179" s="7">
        <f t="shared" si="2"/>
        <v>400</v>
      </c>
    </row>
    <row r="180" spans="1:32" ht="15" customHeight="1" x14ac:dyDescent="0.25">
      <c r="A180" t="str">
        <f>IFERROR(_xlfn.XLOOKUP(--F180,[1]imagenes!$D:$D,[1]imagenes!$A:$A),"")</f>
        <v/>
      </c>
      <c r="B180" s="2" t="s">
        <v>32</v>
      </c>
      <c r="C180" s="2" t="s">
        <v>502</v>
      </c>
      <c r="D180" s="2" t="s">
        <v>34</v>
      </c>
      <c r="E180" s="2" t="s">
        <v>561</v>
      </c>
      <c r="F180" s="2" t="s">
        <v>562</v>
      </c>
      <c r="G180" s="2" t="s">
        <v>563</v>
      </c>
      <c r="H180" s="2" t="s">
        <v>556</v>
      </c>
      <c r="I180" s="3">
        <v>55.5</v>
      </c>
      <c r="J180" s="4">
        <v>180</v>
      </c>
      <c r="AE180" s="6">
        <v>405</v>
      </c>
      <c r="AF180" s="7">
        <f t="shared" si="2"/>
        <v>0</v>
      </c>
    </row>
    <row r="181" spans="1:32" ht="15" customHeight="1" x14ac:dyDescent="0.25">
      <c r="A181" t="str">
        <f>IFERROR(_xlfn.XLOOKUP(--F181,[1]imagenes!$D:$D,[1]imagenes!$A:$A),"")</f>
        <v/>
      </c>
      <c r="B181" s="2" t="s">
        <v>32</v>
      </c>
      <c r="C181" s="2" t="s">
        <v>502</v>
      </c>
      <c r="D181" s="2" t="s">
        <v>34</v>
      </c>
      <c r="E181" s="2" t="s">
        <v>564</v>
      </c>
      <c r="F181" s="2" t="s">
        <v>565</v>
      </c>
      <c r="G181" s="2" t="s">
        <v>566</v>
      </c>
      <c r="H181" s="2" t="s">
        <v>567</v>
      </c>
      <c r="I181" s="3">
        <v>56.5</v>
      </c>
      <c r="J181" s="4">
        <v>180</v>
      </c>
      <c r="U181" s="5">
        <v>25</v>
      </c>
      <c r="W181" s="5">
        <v>35</v>
      </c>
      <c r="X181" s="5">
        <v>50</v>
      </c>
      <c r="Y181" s="5">
        <v>50</v>
      </c>
      <c r="Z181" s="5">
        <v>50</v>
      </c>
      <c r="AA181" s="5">
        <v>32</v>
      </c>
      <c r="AB181" s="5">
        <v>23</v>
      </c>
      <c r="AC181" s="5">
        <v>49</v>
      </c>
      <c r="AD181" s="5">
        <v>33</v>
      </c>
      <c r="AF181" s="7">
        <f t="shared" si="2"/>
        <v>347</v>
      </c>
    </row>
    <row r="182" spans="1:32" ht="15" customHeight="1" x14ac:dyDescent="0.25">
      <c r="A182" t="str">
        <f>IFERROR(_xlfn.XLOOKUP(--F182,[1]imagenes!$D:$D,[1]imagenes!$A:$A),"")</f>
        <v/>
      </c>
      <c r="B182" s="2" t="s">
        <v>32</v>
      </c>
      <c r="C182" s="2" t="s">
        <v>502</v>
      </c>
      <c r="D182" s="2" t="s">
        <v>34</v>
      </c>
      <c r="E182" s="2" t="s">
        <v>564</v>
      </c>
      <c r="F182" s="2" t="s">
        <v>568</v>
      </c>
      <c r="G182" s="2" t="s">
        <v>569</v>
      </c>
      <c r="H182" s="2" t="s">
        <v>570</v>
      </c>
      <c r="I182" s="3">
        <v>56.5</v>
      </c>
      <c r="J182" s="4">
        <v>180</v>
      </c>
      <c r="U182" s="5">
        <v>20</v>
      </c>
      <c r="V182" s="5">
        <v>27</v>
      </c>
      <c r="W182" s="5">
        <v>38</v>
      </c>
      <c r="X182" s="5">
        <v>42</v>
      </c>
      <c r="Y182" s="5">
        <v>50</v>
      </c>
      <c r="Z182" s="5">
        <v>50</v>
      </c>
      <c r="AA182" s="5">
        <v>48</v>
      </c>
      <c r="AB182" s="5">
        <v>33</v>
      </c>
      <c r="AC182" s="5">
        <v>50</v>
      </c>
      <c r="AD182" s="5">
        <v>41</v>
      </c>
      <c r="AE182" s="6">
        <v>22</v>
      </c>
      <c r="AF182" s="7">
        <f t="shared" si="2"/>
        <v>399</v>
      </c>
    </row>
    <row r="183" spans="1:32" ht="15" customHeight="1" x14ac:dyDescent="0.25">
      <c r="A183" t="str">
        <f>IFERROR(_xlfn.XLOOKUP(--F183,[1]imagenes!$D:$D,[1]imagenes!$A:$A),"")</f>
        <v/>
      </c>
      <c r="B183" s="2" t="s">
        <v>32</v>
      </c>
      <c r="C183" s="2" t="s">
        <v>502</v>
      </c>
      <c r="D183" s="2" t="s">
        <v>34</v>
      </c>
      <c r="E183" s="2" t="s">
        <v>564</v>
      </c>
      <c r="F183" s="2" t="s">
        <v>571</v>
      </c>
      <c r="G183" s="2" t="s">
        <v>572</v>
      </c>
      <c r="H183" s="2" t="s">
        <v>573</v>
      </c>
      <c r="I183" s="3">
        <v>56.5</v>
      </c>
      <c r="J183" s="4">
        <v>180</v>
      </c>
      <c r="U183" s="5">
        <v>50</v>
      </c>
      <c r="V183" s="5">
        <v>50</v>
      </c>
      <c r="W183" s="5">
        <v>46</v>
      </c>
      <c r="X183" s="5">
        <v>50</v>
      </c>
      <c r="Y183" s="5">
        <v>50</v>
      </c>
      <c r="Z183" s="5">
        <v>50</v>
      </c>
      <c r="AA183" s="5">
        <v>50</v>
      </c>
      <c r="AB183" s="5">
        <v>9</v>
      </c>
      <c r="AC183" s="5">
        <v>50</v>
      </c>
      <c r="AD183" s="5">
        <v>49</v>
      </c>
      <c r="AF183" s="7">
        <f t="shared" si="2"/>
        <v>454</v>
      </c>
    </row>
    <row r="184" spans="1:32" ht="15" customHeight="1" x14ac:dyDescent="0.25">
      <c r="A184" t="str">
        <f>IFERROR(_xlfn.XLOOKUP(--F184,[1]imagenes!$D:$D,[1]imagenes!$A:$A),"")</f>
        <v/>
      </c>
      <c r="B184" s="2" t="s">
        <v>32</v>
      </c>
      <c r="C184" s="2" t="s">
        <v>502</v>
      </c>
      <c r="D184" s="2" t="s">
        <v>34</v>
      </c>
      <c r="E184" s="2" t="s">
        <v>574</v>
      </c>
      <c r="F184" s="2" t="s">
        <v>575</v>
      </c>
      <c r="G184" s="2" t="s">
        <v>576</v>
      </c>
      <c r="H184" s="2" t="s">
        <v>570</v>
      </c>
      <c r="I184" s="3">
        <v>56.5</v>
      </c>
      <c r="J184" s="4">
        <v>180</v>
      </c>
      <c r="AE184" s="6">
        <v>366</v>
      </c>
      <c r="AF184" s="7">
        <f t="shared" si="2"/>
        <v>0</v>
      </c>
    </row>
    <row r="185" spans="1:32" ht="15" customHeight="1" x14ac:dyDescent="0.25">
      <c r="A185" t="str">
        <f>IFERROR(_xlfn.XLOOKUP(--F185,[1]imagenes!$D:$D,[1]imagenes!$A:$A),"")</f>
        <v/>
      </c>
      <c r="B185" s="2" t="s">
        <v>32</v>
      </c>
      <c r="C185" s="2" t="s">
        <v>502</v>
      </c>
      <c r="D185" s="2" t="s">
        <v>34</v>
      </c>
      <c r="E185" s="2" t="s">
        <v>577</v>
      </c>
      <c r="F185" s="2" t="s">
        <v>578</v>
      </c>
      <c r="G185" s="2" t="s">
        <v>579</v>
      </c>
      <c r="H185" s="2" t="s">
        <v>580</v>
      </c>
      <c r="I185" s="3">
        <v>51.5</v>
      </c>
      <c r="J185" s="4">
        <v>170</v>
      </c>
      <c r="U185" s="5">
        <v>20</v>
      </c>
      <c r="V185" s="5">
        <v>50</v>
      </c>
      <c r="W185" s="5">
        <v>50</v>
      </c>
      <c r="X185" s="5">
        <v>50</v>
      </c>
      <c r="Y185" s="5">
        <v>50</v>
      </c>
      <c r="Z185" s="5">
        <v>50</v>
      </c>
      <c r="AA185" s="5">
        <v>50</v>
      </c>
      <c r="AB185" s="5">
        <v>50</v>
      </c>
      <c r="AC185" s="5">
        <v>50</v>
      </c>
      <c r="AD185" s="5">
        <v>50</v>
      </c>
      <c r="AE185" s="6">
        <v>43</v>
      </c>
      <c r="AF185" s="7">
        <f t="shared" si="2"/>
        <v>470</v>
      </c>
    </row>
    <row r="186" spans="1:32" ht="15" customHeight="1" x14ac:dyDescent="0.25">
      <c r="A186" t="str">
        <f>IFERROR(_xlfn.XLOOKUP(--F186,[1]imagenes!$D:$D,[1]imagenes!$A:$A),"")</f>
        <v/>
      </c>
      <c r="B186" s="2" t="s">
        <v>32</v>
      </c>
      <c r="C186" s="2" t="s">
        <v>502</v>
      </c>
      <c r="D186" s="2" t="s">
        <v>34</v>
      </c>
      <c r="E186" s="2" t="s">
        <v>581</v>
      </c>
      <c r="F186" s="2" t="s">
        <v>582</v>
      </c>
      <c r="G186" s="2" t="s">
        <v>583</v>
      </c>
      <c r="H186" s="2" t="s">
        <v>580</v>
      </c>
      <c r="I186" s="3">
        <v>51.5</v>
      </c>
      <c r="J186" s="4">
        <v>170</v>
      </c>
      <c r="U186" s="5">
        <v>25</v>
      </c>
      <c r="V186" s="5">
        <v>33</v>
      </c>
      <c r="W186" s="5">
        <v>50</v>
      </c>
      <c r="X186" s="5">
        <v>50</v>
      </c>
      <c r="Y186" s="5">
        <v>50</v>
      </c>
      <c r="Z186" s="5">
        <v>50</v>
      </c>
      <c r="AA186" s="5">
        <v>50</v>
      </c>
      <c r="AB186" s="5">
        <v>50</v>
      </c>
      <c r="AC186" s="5">
        <v>50</v>
      </c>
      <c r="AD186" s="5">
        <v>50</v>
      </c>
      <c r="AE186" s="6">
        <v>53</v>
      </c>
      <c r="AF186" s="7">
        <f t="shared" si="2"/>
        <v>458</v>
      </c>
    </row>
    <row r="187" spans="1:32" ht="15" customHeight="1" x14ac:dyDescent="0.25">
      <c r="A187" t="str">
        <f>IFERROR(_xlfn.XLOOKUP(--F187,[1]imagenes!$D:$D,[1]imagenes!$A:$A),"")</f>
        <v/>
      </c>
      <c r="B187" s="2" t="s">
        <v>32</v>
      </c>
      <c r="C187" s="2" t="s">
        <v>502</v>
      </c>
      <c r="D187" s="2" t="s">
        <v>34</v>
      </c>
      <c r="E187" s="2" t="s">
        <v>584</v>
      </c>
      <c r="F187" s="2" t="s">
        <v>585</v>
      </c>
      <c r="G187" s="2" t="s">
        <v>586</v>
      </c>
      <c r="H187" s="2" t="s">
        <v>177</v>
      </c>
      <c r="I187" s="3">
        <v>53.5</v>
      </c>
      <c r="J187" s="4">
        <v>190</v>
      </c>
      <c r="T187" s="5">
        <v>26</v>
      </c>
      <c r="U187" s="5">
        <v>50</v>
      </c>
      <c r="V187" s="5">
        <v>50</v>
      </c>
      <c r="W187" s="5">
        <v>50</v>
      </c>
      <c r="X187" s="5">
        <v>50</v>
      </c>
      <c r="Y187" s="5">
        <v>50</v>
      </c>
      <c r="Z187" s="5">
        <v>50</v>
      </c>
      <c r="AA187" s="5">
        <v>50</v>
      </c>
      <c r="AB187" s="5">
        <v>50</v>
      </c>
      <c r="AC187" s="5">
        <v>50</v>
      </c>
      <c r="AD187" s="5">
        <v>50</v>
      </c>
      <c r="AE187" s="6">
        <v>53</v>
      </c>
      <c r="AF187" s="7">
        <f t="shared" si="2"/>
        <v>526</v>
      </c>
    </row>
    <row r="188" spans="1:32" ht="15" customHeight="1" x14ac:dyDescent="0.25">
      <c r="A188" t="str">
        <f>IFERROR(_xlfn.XLOOKUP(--F188,[1]imagenes!$D:$D,[1]imagenes!$A:$A),"")</f>
        <v/>
      </c>
      <c r="B188" s="2" t="s">
        <v>32</v>
      </c>
      <c r="C188" s="2" t="s">
        <v>502</v>
      </c>
      <c r="D188" s="2" t="s">
        <v>34</v>
      </c>
      <c r="E188" s="2" t="s">
        <v>584</v>
      </c>
      <c r="F188" s="2" t="s">
        <v>587</v>
      </c>
      <c r="G188" s="2" t="s">
        <v>588</v>
      </c>
      <c r="H188" s="2" t="s">
        <v>589</v>
      </c>
      <c r="I188" s="3">
        <v>53.5</v>
      </c>
      <c r="J188" s="4">
        <v>190</v>
      </c>
      <c r="U188" s="5">
        <v>50</v>
      </c>
      <c r="V188" s="5">
        <v>18</v>
      </c>
      <c r="W188" s="5">
        <v>16</v>
      </c>
      <c r="X188" s="5">
        <v>26</v>
      </c>
      <c r="Y188" s="5">
        <v>50</v>
      </c>
      <c r="Z188" s="5">
        <v>50</v>
      </c>
      <c r="AA188" s="5">
        <v>50</v>
      </c>
      <c r="AB188" s="5">
        <v>50</v>
      </c>
      <c r="AC188" s="5">
        <v>50</v>
      </c>
      <c r="AD188" s="5">
        <v>50</v>
      </c>
      <c r="AE188" s="6">
        <v>43</v>
      </c>
      <c r="AF188" s="7">
        <f t="shared" si="2"/>
        <v>410</v>
      </c>
    </row>
    <row r="189" spans="1:32" ht="15" customHeight="1" x14ac:dyDescent="0.25">
      <c r="A189" t="str">
        <f>IFERROR(_xlfn.XLOOKUP(--F189,[1]imagenes!$D:$D,[1]imagenes!$A:$A),"")</f>
        <v/>
      </c>
      <c r="B189" s="2" t="s">
        <v>32</v>
      </c>
      <c r="C189" s="2" t="s">
        <v>502</v>
      </c>
      <c r="D189" s="2" t="s">
        <v>34</v>
      </c>
      <c r="E189" s="2" t="s">
        <v>584</v>
      </c>
      <c r="F189" s="2" t="s">
        <v>590</v>
      </c>
      <c r="G189" s="2" t="s">
        <v>591</v>
      </c>
      <c r="H189" s="2" t="s">
        <v>592</v>
      </c>
      <c r="I189" s="3">
        <v>53.5</v>
      </c>
      <c r="J189" s="4">
        <v>190</v>
      </c>
      <c r="U189" s="5">
        <v>28</v>
      </c>
      <c r="V189" s="5">
        <v>45</v>
      </c>
      <c r="W189" s="5">
        <v>50</v>
      </c>
      <c r="X189" s="5">
        <v>50</v>
      </c>
      <c r="Y189" s="5">
        <v>50</v>
      </c>
      <c r="Z189" s="5">
        <v>50</v>
      </c>
      <c r="AA189" s="5">
        <v>50</v>
      </c>
      <c r="AB189" s="5">
        <v>50</v>
      </c>
      <c r="AC189" s="5">
        <v>50</v>
      </c>
      <c r="AD189" s="5">
        <v>50</v>
      </c>
      <c r="AE189" s="6">
        <v>28</v>
      </c>
      <c r="AF189" s="7">
        <f t="shared" si="2"/>
        <v>473</v>
      </c>
    </row>
    <row r="190" spans="1:32" ht="15" customHeight="1" x14ac:dyDescent="0.25">
      <c r="A190" t="str">
        <f>IFERROR(_xlfn.XLOOKUP(--F190,[1]imagenes!$D:$D,[1]imagenes!$A:$A),"")</f>
        <v/>
      </c>
      <c r="B190" s="2" t="s">
        <v>32</v>
      </c>
      <c r="C190" s="2" t="s">
        <v>502</v>
      </c>
      <c r="D190" s="2" t="s">
        <v>34</v>
      </c>
      <c r="E190" s="2" t="s">
        <v>584</v>
      </c>
      <c r="F190" s="2" t="s">
        <v>593</v>
      </c>
      <c r="G190" s="2" t="s">
        <v>594</v>
      </c>
      <c r="H190" s="2" t="s">
        <v>595</v>
      </c>
      <c r="I190" s="3">
        <v>53.5</v>
      </c>
      <c r="J190" s="4">
        <v>190</v>
      </c>
      <c r="U190" s="5">
        <v>7</v>
      </c>
      <c r="V190" s="5">
        <v>18</v>
      </c>
      <c r="W190" s="5">
        <v>14</v>
      </c>
      <c r="X190" s="5">
        <v>23</v>
      </c>
      <c r="Y190" s="5">
        <v>28</v>
      </c>
      <c r="Z190" s="5">
        <v>44</v>
      </c>
      <c r="AA190" s="5">
        <v>42</v>
      </c>
      <c r="AB190" s="5">
        <v>26</v>
      </c>
      <c r="AC190" s="5">
        <v>32</v>
      </c>
      <c r="AD190" s="5">
        <v>25</v>
      </c>
      <c r="AF190" s="7">
        <f t="shared" si="2"/>
        <v>259</v>
      </c>
    </row>
    <row r="191" spans="1:32" ht="15" customHeight="1" x14ac:dyDescent="0.25">
      <c r="A191" t="str">
        <f>IFERROR(_xlfn.XLOOKUP(--F191,[1]imagenes!$D:$D,[1]imagenes!$A:$A),"")</f>
        <v/>
      </c>
      <c r="B191" s="2" t="s">
        <v>32</v>
      </c>
      <c r="C191" s="2" t="s">
        <v>502</v>
      </c>
      <c r="D191" s="2" t="s">
        <v>34</v>
      </c>
      <c r="E191" s="2" t="s">
        <v>584</v>
      </c>
      <c r="F191" s="2" t="s">
        <v>596</v>
      </c>
      <c r="G191" s="2" t="s">
        <v>597</v>
      </c>
      <c r="H191" s="2" t="s">
        <v>598</v>
      </c>
      <c r="I191" s="3">
        <v>53.5</v>
      </c>
      <c r="J191" s="4">
        <v>190</v>
      </c>
      <c r="U191" s="5">
        <v>14</v>
      </c>
      <c r="V191" s="5">
        <v>27</v>
      </c>
      <c r="W191" s="5">
        <v>28</v>
      </c>
      <c r="X191" s="5">
        <v>30</v>
      </c>
      <c r="Y191" s="5">
        <v>30</v>
      </c>
      <c r="Z191" s="5">
        <v>32</v>
      </c>
      <c r="AA191" s="5">
        <v>36</v>
      </c>
      <c r="AB191" s="5">
        <v>26</v>
      </c>
      <c r="AC191" s="5">
        <v>30</v>
      </c>
      <c r="AD191" s="5">
        <v>29</v>
      </c>
      <c r="AE191" s="6">
        <v>14</v>
      </c>
      <c r="AF191" s="7">
        <f t="shared" si="2"/>
        <v>282</v>
      </c>
    </row>
    <row r="192" spans="1:32" ht="15" customHeight="1" x14ac:dyDescent="0.25">
      <c r="A192" t="str">
        <f>IFERROR(_xlfn.XLOOKUP(--F192,[1]imagenes!$D:$D,[1]imagenes!$A:$A),"")</f>
        <v/>
      </c>
      <c r="B192" s="2" t="s">
        <v>32</v>
      </c>
      <c r="C192" s="2" t="s">
        <v>502</v>
      </c>
      <c r="D192" s="2" t="s">
        <v>34</v>
      </c>
      <c r="E192" s="2" t="s">
        <v>599</v>
      </c>
      <c r="F192" s="2" t="s">
        <v>600</v>
      </c>
      <c r="G192" s="2" t="s">
        <v>601</v>
      </c>
      <c r="H192" s="2" t="s">
        <v>177</v>
      </c>
      <c r="I192" s="3">
        <v>53.5</v>
      </c>
      <c r="J192" s="4">
        <v>190</v>
      </c>
      <c r="AE192" s="6">
        <v>457</v>
      </c>
      <c r="AF192" s="7">
        <f t="shared" si="2"/>
        <v>0</v>
      </c>
    </row>
    <row r="193" spans="1:32" ht="15" customHeight="1" x14ac:dyDescent="0.25">
      <c r="A193" t="str">
        <f>IFERROR(_xlfn.XLOOKUP(--F193,[1]imagenes!$D:$D,[1]imagenes!$A:$A),"")</f>
        <v/>
      </c>
      <c r="B193" s="2" t="s">
        <v>32</v>
      </c>
      <c r="C193" s="2" t="s">
        <v>502</v>
      </c>
      <c r="D193" s="2" t="s">
        <v>34</v>
      </c>
      <c r="E193" s="2" t="s">
        <v>599</v>
      </c>
      <c r="F193" s="2" t="s">
        <v>602</v>
      </c>
      <c r="G193" s="2" t="s">
        <v>603</v>
      </c>
      <c r="H193" s="2" t="s">
        <v>42</v>
      </c>
      <c r="I193" s="3">
        <v>53.5</v>
      </c>
      <c r="J193" s="4">
        <v>190</v>
      </c>
      <c r="AE193" s="6">
        <v>445</v>
      </c>
      <c r="AF193" s="7">
        <f t="shared" si="2"/>
        <v>0</v>
      </c>
    </row>
    <row r="194" spans="1:32" ht="15" customHeight="1" x14ac:dyDescent="0.25">
      <c r="A194" t="str">
        <f>IFERROR(_xlfn.XLOOKUP(--F194,[1]imagenes!$D:$D,[1]imagenes!$A:$A),"")</f>
        <v/>
      </c>
      <c r="B194" s="2" t="s">
        <v>32</v>
      </c>
      <c r="C194" s="2" t="s">
        <v>502</v>
      </c>
      <c r="D194" s="2" t="s">
        <v>34</v>
      </c>
      <c r="E194" s="2" t="s">
        <v>604</v>
      </c>
      <c r="F194" s="2" t="s">
        <v>605</v>
      </c>
      <c r="G194" s="2" t="s">
        <v>606</v>
      </c>
      <c r="H194" s="2" t="s">
        <v>607</v>
      </c>
      <c r="I194" s="3">
        <v>51</v>
      </c>
      <c r="J194" s="4">
        <v>170</v>
      </c>
      <c r="V194" s="5">
        <v>31</v>
      </c>
      <c r="W194" s="5">
        <v>31</v>
      </c>
      <c r="X194" s="5">
        <v>50</v>
      </c>
      <c r="Y194" s="5">
        <v>50</v>
      </c>
      <c r="Z194" s="5">
        <v>50</v>
      </c>
      <c r="AA194" s="5">
        <v>50</v>
      </c>
      <c r="AB194" s="5">
        <v>31</v>
      </c>
      <c r="AC194" s="5">
        <v>50</v>
      </c>
      <c r="AD194" s="5">
        <v>50</v>
      </c>
      <c r="AE194" s="6">
        <v>9</v>
      </c>
      <c r="AF194" s="7">
        <f t="shared" ref="AF194:AF257" si="3">SUM(K194:AD194)</f>
        <v>393</v>
      </c>
    </row>
    <row r="195" spans="1:32" ht="15" customHeight="1" x14ac:dyDescent="0.25">
      <c r="A195" t="str">
        <f>IFERROR(_xlfn.XLOOKUP(--F195,[1]imagenes!$D:$D,[1]imagenes!$A:$A),"")</f>
        <v/>
      </c>
      <c r="B195" s="2" t="s">
        <v>32</v>
      </c>
      <c r="C195" s="2" t="s">
        <v>502</v>
      </c>
      <c r="D195" s="2" t="s">
        <v>34</v>
      </c>
      <c r="E195" s="2" t="s">
        <v>608</v>
      </c>
      <c r="F195" s="2" t="s">
        <v>609</v>
      </c>
      <c r="G195" s="2" t="s">
        <v>610</v>
      </c>
      <c r="H195" s="2" t="s">
        <v>177</v>
      </c>
      <c r="I195" s="3">
        <v>50.5</v>
      </c>
      <c r="J195" s="4">
        <v>180</v>
      </c>
      <c r="S195" s="5">
        <v>33</v>
      </c>
      <c r="T195" s="5">
        <v>29</v>
      </c>
      <c r="U195" s="5">
        <v>50</v>
      </c>
      <c r="V195" s="5">
        <v>50</v>
      </c>
      <c r="W195" s="5">
        <v>50</v>
      </c>
      <c r="X195" s="5">
        <v>50</v>
      </c>
      <c r="Y195" s="5">
        <v>50</v>
      </c>
      <c r="Z195" s="5">
        <v>50</v>
      </c>
      <c r="AA195" s="5">
        <v>50</v>
      </c>
      <c r="AB195" s="5">
        <v>50</v>
      </c>
      <c r="AC195" s="5">
        <v>50</v>
      </c>
      <c r="AD195" s="5">
        <v>50</v>
      </c>
      <c r="AE195" s="6">
        <v>100</v>
      </c>
      <c r="AF195" s="7">
        <f t="shared" si="3"/>
        <v>562</v>
      </c>
    </row>
    <row r="196" spans="1:32" ht="15" customHeight="1" x14ac:dyDescent="0.25">
      <c r="A196" t="str">
        <f>IFERROR(_xlfn.XLOOKUP(--F196,[1]imagenes!$D:$D,[1]imagenes!$A:$A),"")</f>
        <v/>
      </c>
      <c r="B196" s="2" t="s">
        <v>32</v>
      </c>
      <c r="C196" s="2" t="s">
        <v>502</v>
      </c>
      <c r="D196" s="2" t="s">
        <v>34</v>
      </c>
      <c r="E196" s="2" t="s">
        <v>608</v>
      </c>
      <c r="F196" s="2" t="s">
        <v>611</v>
      </c>
      <c r="G196" s="2" t="s">
        <v>612</v>
      </c>
      <c r="H196" s="2" t="s">
        <v>42</v>
      </c>
      <c r="I196" s="3">
        <v>50.5</v>
      </c>
      <c r="J196" s="4">
        <v>180</v>
      </c>
      <c r="U196" s="5">
        <v>11</v>
      </c>
      <c r="V196" s="5">
        <v>27</v>
      </c>
      <c r="X196" s="5">
        <v>50</v>
      </c>
      <c r="Y196" s="5">
        <v>50</v>
      </c>
      <c r="Z196" s="5">
        <v>50</v>
      </c>
      <c r="AB196" s="5">
        <v>40</v>
      </c>
      <c r="AC196" s="5">
        <v>50</v>
      </c>
      <c r="AD196" s="5">
        <v>20</v>
      </c>
      <c r="AE196" s="6">
        <v>10</v>
      </c>
      <c r="AF196" s="7">
        <f t="shared" si="3"/>
        <v>298</v>
      </c>
    </row>
    <row r="197" spans="1:32" ht="15" customHeight="1" x14ac:dyDescent="0.25">
      <c r="A197" t="str">
        <f>IFERROR(_xlfn.XLOOKUP(--F197,[1]imagenes!$D:$D,[1]imagenes!$A:$A),"")</f>
        <v/>
      </c>
      <c r="B197" s="2" t="s">
        <v>32</v>
      </c>
      <c r="C197" s="2" t="s">
        <v>502</v>
      </c>
      <c r="D197" s="2" t="s">
        <v>34</v>
      </c>
      <c r="E197" s="2" t="s">
        <v>608</v>
      </c>
      <c r="F197" s="2" t="s">
        <v>613</v>
      </c>
      <c r="G197" s="2" t="s">
        <v>614</v>
      </c>
      <c r="H197" s="2" t="s">
        <v>589</v>
      </c>
      <c r="I197" s="3">
        <v>50.5</v>
      </c>
      <c r="J197" s="4">
        <v>180</v>
      </c>
      <c r="S197" s="5">
        <v>11</v>
      </c>
      <c r="V197" s="5">
        <v>29</v>
      </c>
      <c r="W197" s="5">
        <v>32</v>
      </c>
      <c r="X197" s="5">
        <v>50</v>
      </c>
      <c r="Y197" s="5">
        <v>50</v>
      </c>
      <c r="Z197" s="5">
        <v>33</v>
      </c>
      <c r="AA197" s="5">
        <v>50</v>
      </c>
      <c r="AB197" s="5">
        <v>50</v>
      </c>
      <c r="AC197" s="5">
        <v>27</v>
      </c>
      <c r="AD197" s="5">
        <v>24</v>
      </c>
      <c r="AE197" s="6">
        <v>62</v>
      </c>
      <c r="AF197" s="7">
        <f t="shared" si="3"/>
        <v>356</v>
      </c>
    </row>
    <row r="198" spans="1:32" ht="15" customHeight="1" x14ac:dyDescent="0.25">
      <c r="A198" t="str">
        <f>IFERROR(_xlfn.XLOOKUP(--F198,[1]imagenes!$D:$D,[1]imagenes!$A:$A),"")</f>
        <v/>
      </c>
      <c r="B198" s="2" t="s">
        <v>32</v>
      </c>
      <c r="C198" s="2" t="s">
        <v>502</v>
      </c>
      <c r="D198" s="2" t="s">
        <v>34</v>
      </c>
      <c r="E198" s="2" t="s">
        <v>608</v>
      </c>
      <c r="F198" s="2" t="s">
        <v>615</v>
      </c>
      <c r="G198" s="2" t="s">
        <v>616</v>
      </c>
      <c r="H198" s="2" t="s">
        <v>617</v>
      </c>
      <c r="I198" s="3">
        <v>50.5</v>
      </c>
      <c r="J198" s="4">
        <v>180</v>
      </c>
      <c r="V198" s="5">
        <v>13</v>
      </c>
      <c r="W198" s="5">
        <v>33</v>
      </c>
      <c r="X198" s="5">
        <v>50</v>
      </c>
      <c r="Y198" s="5">
        <v>50</v>
      </c>
      <c r="Z198" s="5">
        <v>50</v>
      </c>
      <c r="AA198" s="5">
        <v>50</v>
      </c>
      <c r="AB198" s="5">
        <v>34</v>
      </c>
      <c r="AC198" s="5">
        <v>50</v>
      </c>
      <c r="AD198" s="5">
        <v>31</v>
      </c>
      <c r="AE198" s="6">
        <v>15</v>
      </c>
      <c r="AF198" s="7">
        <f t="shared" si="3"/>
        <v>361</v>
      </c>
    </row>
    <row r="199" spans="1:32" ht="15" customHeight="1" x14ac:dyDescent="0.25">
      <c r="A199" t="str">
        <f>IFERROR(_xlfn.XLOOKUP(--F199,[1]imagenes!$D:$D,[1]imagenes!$A:$A),"")</f>
        <v/>
      </c>
      <c r="B199" s="2" t="s">
        <v>32</v>
      </c>
      <c r="C199" s="2" t="s">
        <v>502</v>
      </c>
      <c r="D199" s="2" t="s">
        <v>34</v>
      </c>
      <c r="E199" s="2" t="s">
        <v>618</v>
      </c>
      <c r="F199" s="2" t="s">
        <v>619</v>
      </c>
      <c r="G199" s="2" t="s">
        <v>620</v>
      </c>
      <c r="H199" s="2" t="s">
        <v>177</v>
      </c>
      <c r="I199" s="3">
        <v>50.5</v>
      </c>
      <c r="J199" s="4">
        <v>180</v>
      </c>
      <c r="AE199" s="6">
        <v>453</v>
      </c>
      <c r="AF199" s="7">
        <f t="shared" si="3"/>
        <v>0</v>
      </c>
    </row>
    <row r="200" spans="1:32" ht="15" customHeight="1" x14ac:dyDescent="0.25">
      <c r="A200" t="str">
        <f>IFERROR(_xlfn.XLOOKUP(--F200,[1]imagenes!$D:$D,[1]imagenes!$A:$A),"")</f>
        <v/>
      </c>
      <c r="B200" s="2" t="s">
        <v>32</v>
      </c>
      <c r="C200" s="2" t="s">
        <v>502</v>
      </c>
      <c r="D200" s="2" t="s">
        <v>134</v>
      </c>
      <c r="E200" s="2" t="s">
        <v>503</v>
      </c>
      <c r="F200" s="2" t="s">
        <v>621</v>
      </c>
      <c r="G200" s="2" t="s">
        <v>622</v>
      </c>
      <c r="H200" s="2" t="s">
        <v>623</v>
      </c>
      <c r="I200" s="3">
        <v>49.75</v>
      </c>
      <c r="J200" s="4">
        <v>160</v>
      </c>
      <c r="O200" s="5">
        <v>15</v>
      </c>
      <c r="P200" s="5">
        <v>19</v>
      </c>
      <c r="Q200" s="5">
        <v>50</v>
      </c>
      <c r="R200" s="5">
        <v>50</v>
      </c>
      <c r="S200" s="5">
        <v>50</v>
      </c>
      <c r="T200" s="5">
        <v>50</v>
      </c>
      <c r="U200" s="5">
        <v>50</v>
      </c>
      <c r="V200" s="5">
        <v>50</v>
      </c>
      <c r="W200" s="5">
        <v>50</v>
      </c>
      <c r="X200" s="5">
        <v>50</v>
      </c>
      <c r="Y200" s="5">
        <v>50</v>
      </c>
      <c r="Z200" s="5">
        <v>50</v>
      </c>
      <c r="AA200" s="5">
        <v>50</v>
      </c>
      <c r="AC200" s="5">
        <v>33</v>
      </c>
      <c r="AF200" s="7">
        <f t="shared" si="3"/>
        <v>617</v>
      </c>
    </row>
    <row r="201" spans="1:32" ht="15" customHeight="1" x14ac:dyDescent="0.25">
      <c r="A201" t="str">
        <f>IFERROR(_xlfn.XLOOKUP(--F201,[1]imagenes!$D:$D,[1]imagenes!$A:$A),"")</f>
        <v/>
      </c>
      <c r="B201" s="2" t="s">
        <v>32</v>
      </c>
      <c r="C201" s="2" t="s">
        <v>502</v>
      </c>
      <c r="D201" s="2" t="s">
        <v>134</v>
      </c>
      <c r="E201" s="2" t="s">
        <v>503</v>
      </c>
      <c r="F201" s="2" t="s">
        <v>624</v>
      </c>
      <c r="G201" s="2" t="s">
        <v>625</v>
      </c>
      <c r="H201" s="2" t="s">
        <v>626</v>
      </c>
      <c r="I201" s="3">
        <v>49.75</v>
      </c>
      <c r="J201" s="4">
        <v>160</v>
      </c>
      <c r="Q201" s="5">
        <v>31</v>
      </c>
      <c r="R201" s="5">
        <v>39</v>
      </c>
      <c r="S201" s="5">
        <v>50</v>
      </c>
      <c r="T201" s="5">
        <v>50</v>
      </c>
      <c r="U201" s="5">
        <v>50</v>
      </c>
      <c r="V201" s="5">
        <v>50</v>
      </c>
      <c r="W201" s="5">
        <v>50</v>
      </c>
      <c r="X201" s="5">
        <v>50</v>
      </c>
      <c r="Y201" s="5">
        <v>50</v>
      </c>
      <c r="Z201" s="5">
        <v>30</v>
      </c>
      <c r="AA201" s="5">
        <v>31</v>
      </c>
      <c r="AC201" s="5">
        <v>7</v>
      </c>
      <c r="AF201" s="7">
        <f t="shared" si="3"/>
        <v>488</v>
      </c>
    </row>
    <row r="202" spans="1:32" ht="15" customHeight="1" x14ac:dyDescent="0.25">
      <c r="A202" t="str">
        <f>IFERROR(_xlfn.XLOOKUP(--F202,[1]imagenes!$D:$D,[1]imagenes!$A:$A),"")</f>
        <v/>
      </c>
      <c r="B202" s="2" t="s">
        <v>32</v>
      </c>
      <c r="C202" s="2" t="s">
        <v>502</v>
      </c>
      <c r="D202" s="2" t="s">
        <v>134</v>
      </c>
      <c r="E202" s="2" t="s">
        <v>503</v>
      </c>
      <c r="F202" s="2" t="s">
        <v>627</v>
      </c>
      <c r="G202" s="2" t="s">
        <v>628</v>
      </c>
      <c r="H202" s="2" t="s">
        <v>629</v>
      </c>
      <c r="I202" s="3">
        <v>49.75</v>
      </c>
      <c r="J202" s="4">
        <v>160</v>
      </c>
      <c r="Q202" s="5">
        <v>43</v>
      </c>
      <c r="R202" s="5">
        <v>50</v>
      </c>
      <c r="S202" s="5">
        <v>50</v>
      </c>
      <c r="T202" s="5">
        <v>50</v>
      </c>
      <c r="U202" s="5">
        <v>50</v>
      </c>
      <c r="V202" s="5">
        <v>50</v>
      </c>
      <c r="W202" s="5">
        <v>50</v>
      </c>
      <c r="X202" s="5">
        <v>50</v>
      </c>
      <c r="Y202" s="5">
        <v>50</v>
      </c>
      <c r="Z202" s="5">
        <v>10</v>
      </c>
      <c r="AA202" s="5">
        <v>27</v>
      </c>
      <c r="AF202" s="7">
        <f t="shared" si="3"/>
        <v>480</v>
      </c>
    </row>
    <row r="203" spans="1:32" ht="15" customHeight="1" x14ac:dyDescent="0.25">
      <c r="A203" t="str">
        <f>IFERROR(_xlfn.XLOOKUP(--F203,[1]imagenes!$D:$D,[1]imagenes!$A:$A),"")</f>
        <v/>
      </c>
      <c r="B203" s="2" t="s">
        <v>32</v>
      </c>
      <c r="C203" s="2" t="s">
        <v>502</v>
      </c>
      <c r="D203" s="2" t="s">
        <v>134</v>
      </c>
      <c r="E203" s="2" t="s">
        <v>503</v>
      </c>
      <c r="F203" s="2" t="s">
        <v>630</v>
      </c>
      <c r="G203" s="2" t="s">
        <v>631</v>
      </c>
      <c r="H203" s="2" t="s">
        <v>632</v>
      </c>
      <c r="I203" s="3">
        <v>49.75</v>
      </c>
      <c r="J203" s="4">
        <v>160</v>
      </c>
      <c r="Q203" s="5">
        <v>50</v>
      </c>
      <c r="R203" s="5">
        <v>50</v>
      </c>
      <c r="S203" s="5">
        <v>50</v>
      </c>
      <c r="T203" s="5">
        <v>50</v>
      </c>
      <c r="U203" s="5">
        <v>50</v>
      </c>
      <c r="V203" s="5">
        <v>50</v>
      </c>
      <c r="W203" s="5">
        <v>50</v>
      </c>
      <c r="X203" s="5">
        <v>50</v>
      </c>
      <c r="Y203" s="5">
        <v>50</v>
      </c>
      <c r="Z203" s="5">
        <v>27</v>
      </c>
      <c r="AA203" s="5">
        <v>49</v>
      </c>
      <c r="AF203" s="7">
        <f t="shared" si="3"/>
        <v>526</v>
      </c>
    </row>
    <row r="204" spans="1:32" ht="15" customHeight="1" x14ac:dyDescent="0.25">
      <c r="A204" t="str">
        <f>IFERROR(_xlfn.XLOOKUP(--F204,[1]imagenes!$D:$D,[1]imagenes!$A:$A),"")</f>
        <v/>
      </c>
      <c r="B204" s="2" t="s">
        <v>32</v>
      </c>
      <c r="C204" s="2" t="s">
        <v>502</v>
      </c>
      <c r="D204" s="2" t="s">
        <v>134</v>
      </c>
      <c r="E204" s="2" t="s">
        <v>503</v>
      </c>
      <c r="F204" s="2" t="s">
        <v>633</v>
      </c>
      <c r="G204" s="2" t="s">
        <v>634</v>
      </c>
      <c r="H204" s="2" t="s">
        <v>635</v>
      </c>
      <c r="I204" s="3">
        <v>49.75</v>
      </c>
      <c r="J204" s="4">
        <v>160</v>
      </c>
      <c r="Q204" s="5">
        <v>16</v>
      </c>
      <c r="R204" s="5">
        <v>26</v>
      </c>
      <c r="S204" s="5">
        <v>50</v>
      </c>
      <c r="T204" s="5">
        <v>50</v>
      </c>
      <c r="U204" s="5">
        <v>50</v>
      </c>
      <c r="V204" s="5">
        <v>50</v>
      </c>
      <c r="W204" s="5">
        <v>50</v>
      </c>
      <c r="X204" s="5">
        <v>50</v>
      </c>
      <c r="Y204" s="5">
        <v>50</v>
      </c>
      <c r="Z204" s="5">
        <v>11</v>
      </c>
      <c r="AA204" s="5">
        <v>28</v>
      </c>
      <c r="AF204" s="7">
        <f t="shared" si="3"/>
        <v>431</v>
      </c>
    </row>
    <row r="205" spans="1:32" ht="15" customHeight="1" x14ac:dyDescent="0.25">
      <c r="A205" t="str">
        <f>IFERROR(_xlfn.XLOOKUP(--F205,[1]imagenes!$D:$D,[1]imagenes!$A:$A),"")</f>
        <v/>
      </c>
      <c r="B205" s="2" t="s">
        <v>32</v>
      </c>
      <c r="C205" s="2" t="s">
        <v>502</v>
      </c>
      <c r="D205" s="2" t="s">
        <v>134</v>
      </c>
      <c r="E205" s="2" t="s">
        <v>519</v>
      </c>
      <c r="F205" s="2" t="s">
        <v>636</v>
      </c>
      <c r="G205" s="2" t="s">
        <v>637</v>
      </c>
      <c r="H205" s="2" t="s">
        <v>638</v>
      </c>
      <c r="I205" s="3">
        <v>27</v>
      </c>
      <c r="J205" s="4">
        <v>150</v>
      </c>
      <c r="O205" s="5">
        <v>7</v>
      </c>
      <c r="P205" s="5">
        <v>7</v>
      </c>
      <c r="Q205" s="5">
        <v>25</v>
      </c>
      <c r="R205" s="5">
        <v>39</v>
      </c>
      <c r="S205" s="5">
        <v>50</v>
      </c>
      <c r="T205" s="5">
        <v>50</v>
      </c>
      <c r="U205" s="5">
        <v>50</v>
      </c>
      <c r="V205" s="5">
        <v>50</v>
      </c>
      <c r="W205" s="5">
        <v>50</v>
      </c>
      <c r="X205" s="5">
        <v>50</v>
      </c>
      <c r="Y205" s="5">
        <v>50</v>
      </c>
      <c r="Z205" s="5">
        <v>18</v>
      </c>
      <c r="AA205" s="5">
        <v>33</v>
      </c>
      <c r="AC205" s="5">
        <v>9</v>
      </c>
      <c r="AF205" s="7">
        <f t="shared" si="3"/>
        <v>488</v>
      </c>
    </row>
    <row r="206" spans="1:32" ht="15" customHeight="1" x14ac:dyDescent="0.25">
      <c r="A206" t="str">
        <f>IFERROR(_xlfn.XLOOKUP(--F206,[1]imagenes!$D:$D,[1]imagenes!$A:$A),"")</f>
        <v/>
      </c>
      <c r="B206" s="2" t="s">
        <v>32</v>
      </c>
      <c r="C206" s="2" t="s">
        <v>502</v>
      </c>
      <c r="D206" s="2" t="s">
        <v>134</v>
      </c>
      <c r="E206" s="2" t="s">
        <v>519</v>
      </c>
      <c r="F206" s="2" t="s">
        <v>639</v>
      </c>
      <c r="G206" s="2" t="s">
        <v>640</v>
      </c>
      <c r="H206" s="2" t="s">
        <v>641</v>
      </c>
      <c r="I206" s="3">
        <v>27</v>
      </c>
      <c r="J206" s="4">
        <v>150</v>
      </c>
      <c r="O206" s="5">
        <v>7</v>
      </c>
      <c r="Q206" s="5">
        <v>31</v>
      </c>
      <c r="R206" s="5">
        <v>26</v>
      </c>
      <c r="S206" s="5">
        <v>29</v>
      </c>
      <c r="T206" s="5">
        <v>50</v>
      </c>
      <c r="U206" s="5">
        <v>50</v>
      </c>
      <c r="V206" s="5">
        <v>50</v>
      </c>
      <c r="W206" s="5">
        <v>50</v>
      </c>
      <c r="X206" s="5">
        <v>49</v>
      </c>
      <c r="Y206" s="5">
        <v>50</v>
      </c>
      <c r="Z206" s="5">
        <v>18</v>
      </c>
      <c r="AA206" s="5">
        <v>31</v>
      </c>
      <c r="AF206" s="7">
        <f t="shared" si="3"/>
        <v>441</v>
      </c>
    </row>
    <row r="207" spans="1:32" ht="15" customHeight="1" x14ac:dyDescent="0.25">
      <c r="A207" t="str">
        <f>IFERROR(_xlfn.XLOOKUP(--F207,[1]imagenes!$D:$D,[1]imagenes!$A:$A),"")</f>
        <v/>
      </c>
      <c r="B207" s="2" t="s">
        <v>32</v>
      </c>
      <c r="C207" s="2" t="s">
        <v>502</v>
      </c>
      <c r="D207" s="2" t="s">
        <v>134</v>
      </c>
      <c r="E207" s="2" t="s">
        <v>519</v>
      </c>
      <c r="F207" s="2" t="s">
        <v>642</v>
      </c>
      <c r="G207" s="2" t="s">
        <v>643</v>
      </c>
      <c r="H207" s="2" t="s">
        <v>644</v>
      </c>
      <c r="I207" s="3">
        <v>27</v>
      </c>
      <c r="J207" s="4">
        <v>150</v>
      </c>
      <c r="O207" s="5">
        <v>9</v>
      </c>
      <c r="P207" s="5">
        <v>8</v>
      </c>
      <c r="Q207" s="5">
        <v>15</v>
      </c>
      <c r="R207" s="5">
        <v>31</v>
      </c>
      <c r="S207" s="5">
        <v>49</v>
      </c>
      <c r="T207" s="5">
        <v>50</v>
      </c>
      <c r="U207" s="5">
        <v>50</v>
      </c>
      <c r="V207" s="5">
        <v>50</v>
      </c>
      <c r="W207" s="5">
        <v>40</v>
      </c>
      <c r="X207" s="5">
        <v>50</v>
      </c>
      <c r="Y207" s="5">
        <v>49</v>
      </c>
      <c r="Z207" s="5">
        <v>14</v>
      </c>
      <c r="AA207" s="5">
        <v>18</v>
      </c>
      <c r="AF207" s="7">
        <f t="shared" si="3"/>
        <v>433</v>
      </c>
    </row>
    <row r="208" spans="1:32" ht="15" customHeight="1" x14ac:dyDescent="0.25">
      <c r="A208" t="str">
        <f>IFERROR(_xlfn.XLOOKUP(--F208,[1]imagenes!$D:$D,[1]imagenes!$A:$A),"")</f>
        <v/>
      </c>
      <c r="B208" s="2" t="s">
        <v>32</v>
      </c>
      <c r="C208" s="2" t="s">
        <v>502</v>
      </c>
      <c r="D208" s="2" t="s">
        <v>134</v>
      </c>
      <c r="E208" s="2" t="s">
        <v>532</v>
      </c>
      <c r="F208" s="2" t="s">
        <v>645</v>
      </c>
      <c r="G208" s="2" t="s">
        <v>646</v>
      </c>
      <c r="H208" s="2" t="s">
        <v>535</v>
      </c>
      <c r="I208" s="3">
        <v>57.5</v>
      </c>
      <c r="J208" s="4">
        <v>190</v>
      </c>
      <c r="P208" s="5">
        <v>13</v>
      </c>
      <c r="Q208" s="5">
        <v>19</v>
      </c>
      <c r="R208" s="5">
        <v>13</v>
      </c>
      <c r="S208" s="5">
        <v>29</v>
      </c>
      <c r="T208" s="5">
        <v>27</v>
      </c>
      <c r="U208" s="5">
        <v>50</v>
      </c>
      <c r="V208" s="5">
        <v>50</v>
      </c>
      <c r="W208" s="5">
        <v>50</v>
      </c>
      <c r="X208" s="5">
        <v>50</v>
      </c>
      <c r="Y208" s="5">
        <v>36</v>
      </c>
      <c r="Z208" s="5">
        <v>23</v>
      </c>
      <c r="AA208" s="5">
        <v>24</v>
      </c>
      <c r="AF208" s="7">
        <f t="shared" si="3"/>
        <v>384</v>
      </c>
    </row>
    <row r="209" spans="1:32" ht="15" customHeight="1" x14ac:dyDescent="0.25">
      <c r="A209" t="str">
        <f>IFERROR(_xlfn.XLOOKUP(--F209,[1]imagenes!$D:$D,[1]imagenes!$A:$A),"")</f>
        <v/>
      </c>
      <c r="B209" s="2" t="s">
        <v>32</v>
      </c>
      <c r="C209" s="2" t="s">
        <v>502</v>
      </c>
      <c r="D209" s="2" t="s">
        <v>134</v>
      </c>
      <c r="E209" s="2" t="s">
        <v>536</v>
      </c>
      <c r="F209" s="2" t="s">
        <v>647</v>
      </c>
      <c r="G209" s="2" t="s">
        <v>648</v>
      </c>
      <c r="H209" s="2" t="s">
        <v>649</v>
      </c>
      <c r="I209" s="3">
        <v>58.5</v>
      </c>
      <c r="J209" s="4">
        <v>190</v>
      </c>
      <c r="O209" s="5">
        <v>13</v>
      </c>
      <c r="P209" s="5">
        <v>17</v>
      </c>
      <c r="Q209" s="5">
        <v>50</v>
      </c>
      <c r="R209" s="5">
        <v>50</v>
      </c>
      <c r="S209" s="5">
        <v>50</v>
      </c>
      <c r="T209" s="5">
        <v>50</v>
      </c>
      <c r="U209" s="5">
        <v>50</v>
      </c>
      <c r="V209" s="5">
        <v>50</v>
      </c>
      <c r="W209" s="5">
        <v>50</v>
      </c>
      <c r="X209" s="5">
        <v>50</v>
      </c>
      <c r="Y209" s="5">
        <v>50</v>
      </c>
      <c r="Z209" s="5">
        <v>50</v>
      </c>
      <c r="AA209" s="5">
        <v>50</v>
      </c>
      <c r="AC209" s="5">
        <v>24</v>
      </c>
      <c r="AF209" s="7">
        <f t="shared" si="3"/>
        <v>604</v>
      </c>
    </row>
    <row r="210" spans="1:32" ht="15" customHeight="1" x14ac:dyDescent="0.25">
      <c r="A210" t="str">
        <f>IFERROR(_xlfn.XLOOKUP(--F210,[1]imagenes!$D:$D,[1]imagenes!$A:$A),"")</f>
        <v/>
      </c>
      <c r="B210" s="2" t="s">
        <v>32</v>
      </c>
      <c r="C210" s="2" t="s">
        <v>502</v>
      </c>
      <c r="D210" s="2" t="s">
        <v>134</v>
      </c>
      <c r="E210" s="2" t="s">
        <v>536</v>
      </c>
      <c r="F210" s="2" t="s">
        <v>650</v>
      </c>
      <c r="G210" s="2" t="s">
        <v>651</v>
      </c>
      <c r="H210" s="2" t="s">
        <v>652</v>
      </c>
      <c r="I210" s="3">
        <v>58.5</v>
      </c>
      <c r="J210" s="4">
        <v>190</v>
      </c>
      <c r="Q210" s="5">
        <v>30</v>
      </c>
      <c r="R210" s="5">
        <v>42</v>
      </c>
      <c r="S210" s="5">
        <v>50</v>
      </c>
      <c r="T210" s="5">
        <v>50</v>
      </c>
      <c r="U210" s="5">
        <v>50</v>
      </c>
      <c r="V210" s="5">
        <v>50</v>
      </c>
      <c r="W210" s="5">
        <v>50</v>
      </c>
      <c r="X210" s="5">
        <v>50</v>
      </c>
      <c r="Y210" s="5">
        <v>47</v>
      </c>
      <c r="Z210" s="5">
        <v>21</v>
      </c>
      <c r="AA210" s="5">
        <v>17</v>
      </c>
      <c r="AF210" s="7">
        <f t="shared" si="3"/>
        <v>457</v>
      </c>
    </row>
    <row r="211" spans="1:32" ht="15" customHeight="1" x14ac:dyDescent="0.25">
      <c r="A211" t="str">
        <f>IFERROR(_xlfn.XLOOKUP(--F211,[1]imagenes!$D:$D,[1]imagenes!$A:$A),"")</f>
        <v/>
      </c>
      <c r="B211" s="2" t="s">
        <v>32</v>
      </c>
      <c r="C211" s="2" t="s">
        <v>502</v>
      </c>
      <c r="D211" s="2" t="s">
        <v>134</v>
      </c>
      <c r="E211" s="2" t="s">
        <v>536</v>
      </c>
      <c r="F211" s="2" t="s">
        <v>653</v>
      </c>
      <c r="G211" s="2" t="s">
        <v>654</v>
      </c>
      <c r="H211" s="2" t="s">
        <v>655</v>
      </c>
      <c r="I211" s="3">
        <v>58.5</v>
      </c>
      <c r="J211" s="4">
        <v>190</v>
      </c>
      <c r="P211" s="5">
        <v>9</v>
      </c>
      <c r="Q211" s="5">
        <v>50</v>
      </c>
      <c r="R211" s="5">
        <v>50</v>
      </c>
      <c r="S211" s="5">
        <v>50</v>
      </c>
      <c r="T211" s="5">
        <v>50</v>
      </c>
      <c r="U211" s="5">
        <v>50</v>
      </c>
      <c r="V211" s="5">
        <v>50</v>
      </c>
      <c r="W211" s="5">
        <v>50</v>
      </c>
      <c r="X211" s="5">
        <v>50</v>
      </c>
      <c r="Y211" s="5">
        <v>50</v>
      </c>
      <c r="Z211" s="5">
        <v>34</v>
      </c>
      <c r="AA211" s="5">
        <v>50</v>
      </c>
      <c r="AC211" s="5">
        <v>21</v>
      </c>
      <c r="AF211" s="7">
        <f t="shared" si="3"/>
        <v>564</v>
      </c>
    </row>
    <row r="212" spans="1:32" ht="15" customHeight="1" x14ac:dyDescent="0.25">
      <c r="A212" t="str">
        <f>IFERROR(_xlfn.XLOOKUP(--F212,[1]imagenes!$D:$D,[1]imagenes!$A:$A),"")</f>
        <v/>
      </c>
      <c r="B212" s="2" t="s">
        <v>32</v>
      </c>
      <c r="C212" s="2" t="s">
        <v>502</v>
      </c>
      <c r="D212" s="2" t="s">
        <v>134</v>
      </c>
      <c r="E212" s="2" t="s">
        <v>536</v>
      </c>
      <c r="F212" s="2" t="s">
        <v>656</v>
      </c>
      <c r="G212" s="2" t="s">
        <v>657</v>
      </c>
      <c r="H212" s="2" t="s">
        <v>658</v>
      </c>
      <c r="I212" s="3">
        <v>58.5</v>
      </c>
      <c r="J212" s="4">
        <v>190</v>
      </c>
      <c r="Q212" s="5">
        <v>21</v>
      </c>
      <c r="R212" s="5">
        <v>27</v>
      </c>
      <c r="S212" s="5">
        <v>30</v>
      </c>
      <c r="T212" s="5">
        <v>32</v>
      </c>
      <c r="U212" s="5">
        <v>43</v>
      </c>
      <c r="V212" s="5">
        <v>42</v>
      </c>
      <c r="W212" s="5">
        <v>39</v>
      </c>
      <c r="X212" s="5">
        <v>15</v>
      </c>
      <c r="Y212" s="5">
        <v>21</v>
      </c>
      <c r="AA212" s="5">
        <v>12</v>
      </c>
      <c r="AF212" s="7">
        <f t="shared" si="3"/>
        <v>282</v>
      </c>
    </row>
    <row r="213" spans="1:32" ht="15" customHeight="1" x14ac:dyDescent="0.25">
      <c r="A213" t="str">
        <f>IFERROR(_xlfn.XLOOKUP(--F213,[1]imagenes!$D:$D,[1]imagenes!$A:$A),"")</f>
        <v/>
      </c>
      <c r="B213" s="2" t="s">
        <v>32</v>
      </c>
      <c r="C213" s="2" t="s">
        <v>502</v>
      </c>
      <c r="D213" s="2" t="s">
        <v>134</v>
      </c>
      <c r="E213" s="2" t="s">
        <v>550</v>
      </c>
      <c r="F213" s="2" t="s">
        <v>659</v>
      </c>
      <c r="G213" s="2" t="s">
        <v>660</v>
      </c>
      <c r="H213" s="2" t="s">
        <v>486</v>
      </c>
      <c r="I213" s="3">
        <v>55.5</v>
      </c>
      <c r="J213" s="4">
        <v>180</v>
      </c>
      <c r="O213" s="5">
        <v>7</v>
      </c>
      <c r="P213" s="5">
        <v>11</v>
      </c>
      <c r="R213" s="5">
        <v>13</v>
      </c>
      <c r="S213" s="5">
        <v>50</v>
      </c>
      <c r="T213" s="5">
        <v>50</v>
      </c>
      <c r="U213" s="5">
        <v>50</v>
      </c>
      <c r="V213" s="5">
        <v>50</v>
      </c>
      <c r="W213" s="5">
        <v>31</v>
      </c>
      <c r="X213" s="5">
        <v>27</v>
      </c>
      <c r="Y213" s="5">
        <v>50</v>
      </c>
      <c r="Z213" s="5">
        <v>31</v>
      </c>
      <c r="AA213" s="5">
        <v>50</v>
      </c>
      <c r="AC213" s="5">
        <v>50</v>
      </c>
      <c r="AF213" s="7">
        <f t="shared" si="3"/>
        <v>470</v>
      </c>
    </row>
    <row r="214" spans="1:32" ht="15" customHeight="1" x14ac:dyDescent="0.25">
      <c r="A214" t="str">
        <f>IFERROR(_xlfn.XLOOKUP(--F214,[1]imagenes!$D:$D,[1]imagenes!$A:$A),"")</f>
        <v/>
      </c>
      <c r="B214" s="2" t="s">
        <v>32</v>
      </c>
      <c r="C214" s="2" t="s">
        <v>502</v>
      </c>
      <c r="D214" s="2" t="s">
        <v>134</v>
      </c>
      <c r="E214" s="2" t="s">
        <v>550</v>
      </c>
      <c r="F214" s="2" t="s">
        <v>661</v>
      </c>
      <c r="G214" s="2" t="s">
        <v>662</v>
      </c>
      <c r="H214" s="2" t="s">
        <v>663</v>
      </c>
      <c r="I214" s="3">
        <v>55.5</v>
      </c>
      <c r="J214" s="4">
        <v>180</v>
      </c>
      <c r="O214" s="5">
        <v>7</v>
      </c>
      <c r="P214" s="5">
        <v>13</v>
      </c>
      <c r="Q214" s="5">
        <v>13</v>
      </c>
      <c r="R214" s="5">
        <v>18</v>
      </c>
      <c r="T214" s="5">
        <v>16</v>
      </c>
      <c r="U214" s="5">
        <v>50</v>
      </c>
      <c r="V214" s="5">
        <v>50</v>
      </c>
      <c r="W214" s="5">
        <v>50</v>
      </c>
      <c r="X214" s="5">
        <v>37</v>
      </c>
      <c r="Y214" s="5">
        <v>50</v>
      </c>
      <c r="Z214" s="5">
        <v>39</v>
      </c>
      <c r="AA214" s="5">
        <v>50</v>
      </c>
      <c r="AC214" s="5">
        <v>41</v>
      </c>
      <c r="AF214" s="7">
        <f t="shared" si="3"/>
        <v>434</v>
      </c>
    </row>
    <row r="215" spans="1:32" ht="15" customHeight="1" x14ac:dyDescent="0.25">
      <c r="A215" t="str">
        <f>IFERROR(_xlfn.XLOOKUP(--F215,[1]imagenes!$D:$D,[1]imagenes!$A:$A),"")</f>
        <v/>
      </c>
      <c r="B215" s="2" t="s">
        <v>32</v>
      </c>
      <c r="C215" s="2" t="s">
        <v>502</v>
      </c>
      <c r="D215" s="2" t="s">
        <v>134</v>
      </c>
      <c r="E215" s="2" t="s">
        <v>584</v>
      </c>
      <c r="F215" s="2" t="s">
        <v>664</v>
      </c>
      <c r="G215" s="2" t="s">
        <v>665</v>
      </c>
      <c r="H215" s="2" t="s">
        <v>666</v>
      </c>
      <c r="I215" s="3">
        <v>53.5</v>
      </c>
      <c r="J215" s="4">
        <v>190</v>
      </c>
      <c r="Q215" s="5">
        <v>22</v>
      </c>
      <c r="R215" s="5">
        <v>13</v>
      </c>
      <c r="S215" s="5">
        <v>15</v>
      </c>
      <c r="T215" s="5">
        <v>41</v>
      </c>
      <c r="U215" s="5">
        <v>45</v>
      </c>
      <c r="V215" s="5">
        <v>49</v>
      </c>
      <c r="W215" s="5">
        <v>49</v>
      </c>
      <c r="X215" s="5">
        <v>33</v>
      </c>
      <c r="Y215" s="5">
        <v>32</v>
      </c>
      <c r="Z215" s="5">
        <v>7</v>
      </c>
      <c r="AA215" s="5">
        <v>14</v>
      </c>
      <c r="AF215" s="7">
        <f t="shared" si="3"/>
        <v>320</v>
      </c>
    </row>
    <row r="216" spans="1:32" ht="15" customHeight="1" x14ac:dyDescent="0.25">
      <c r="A216" t="str">
        <f>IFERROR(_xlfn.XLOOKUP(--F216,[1]imagenes!$D:$D,[1]imagenes!$A:$A),"")</f>
        <v/>
      </c>
      <c r="B216" s="2" t="s">
        <v>32</v>
      </c>
      <c r="C216" s="2" t="s">
        <v>502</v>
      </c>
      <c r="D216" s="2" t="s">
        <v>134</v>
      </c>
      <c r="E216" s="2" t="s">
        <v>584</v>
      </c>
      <c r="F216" s="2" t="s">
        <v>667</v>
      </c>
      <c r="G216" s="2" t="s">
        <v>668</v>
      </c>
      <c r="H216" s="2" t="s">
        <v>669</v>
      </c>
      <c r="I216" s="3">
        <v>53.5</v>
      </c>
      <c r="J216" s="4">
        <v>190</v>
      </c>
      <c r="Q216" s="5">
        <v>7</v>
      </c>
      <c r="R216" s="5">
        <v>11</v>
      </c>
      <c r="S216" s="5">
        <v>19</v>
      </c>
      <c r="T216" s="5">
        <v>34</v>
      </c>
      <c r="U216" s="5">
        <v>46</v>
      </c>
      <c r="V216" s="5">
        <v>37</v>
      </c>
      <c r="W216" s="5">
        <v>49</v>
      </c>
      <c r="X216" s="5">
        <v>30</v>
      </c>
      <c r="Y216" s="5">
        <v>33</v>
      </c>
      <c r="Z216" s="5">
        <v>7</v>
      </c>
      <c r="AA216" s="5">
        <v>13</v>
      </c>
      <c r="AF216" s="7">
        <f t="shared" si="3"/>
        <v>286</v>
      </c>
    </row>
    <row r="217" spans="1:32" ht="15" customHeight="1" x14ac:dyDescent="0.25">
      <c r="A217" t="str">
        <f>IFERROR(_xlfn.XLOOKUP(--F217,[1]imagenes!$D:$D,[1]imagenes!$A:$A),"")</f>
        <v/>
      </c>
      <c r="B217" s="2" t="s">
        <v>32</v>
      </c>
      <c r="C217" s="2" t="s">
        <v>502</v>
      </c>
      <c r="D217" s="2" t="s">
        <v>134</v>
      </c>
      <c r="E217" s="2" t="s">
        <v>599</v>
      </c>
      <c r="F217" s="2" t="s">
        <v>670</v>
      </c>
      <c r="G217" s="2" t="s">
        <v>671</v>
      </c>
      <c r="H217" s="2" t="s">
        <v>672</v>
      </c>
      <c r="I217" s="3">
        <v>53.5</v>
      </c>
      <c r="J217" s="4">
        <v>190</v>
      </c>
      <c r="AE217" s="6">
        <v>358</v>
      </c>
      <c r="AF217" s="7">
        <f t="shared" si="3"/>
        <v>0</v>
      </c>
    </row>
    <row r="218" spans="1:32" ht="15" customHeight="1" x14ac:dyDescent="0.25">
      <c r="A218" t="str">
        <f>IFERROR(_xlfn.XLOOKUP(--F218,[1]imagenes!$D:$D,[1]imagenes!$A:$A),"")</f>
        <v/>
      </c>
      <c r="B218" s="2" t="s">
        <v>32</v>
      </c>
      <c r="C218" s="2" t="s">
        <v>502</v>
      </c>
      <c r="D218" s="2" t="s">
        <v>134</v>
      </c>
      <c r="E218" s="2" t="s">
        <v>599</v>
      </c>
      <c r="F218" s="2" t="s">
        <v>673</v>
      </c>
      <c r="G218" s="2" t="s">
        <v>674</v>
      </c>
      <c r="H218" s="2" t="s">
        <v>666</v>
      </c>
      <c r="I218" s="3">
        <v>53.5</v>
      </c>
      <c r="J218" s="4">
        <v>190</v>
      </c>
      <c r="AE218" s="6">
        <v>429</v>
      </c>
      <c r="AF218" s="7">
        <f t="shared" si="3"/>
        <v>0</v>
      </c>
    </row>
    <row r="219" spans="1:32" ht="15" customHeight="1" x14ac:dyDescent="0.25">
      <c r="A219" t="str">
        <f>IFERROR(_xlfn.XLOOKUP(--F219,[1]imagenes!$D:$D,[1]imagenes!$A:$A),"")</f>
        <v/>
      </c>
      <c r="B219" s="2" t="s">
        <v>32</v>
      </c>
      <c r="C219" s="2" t="s">
        <v>502</v>
      </c>
      <c r="D219" s="2" t="s">
        <v>134</v>
      </c>
      <c r="E219" s="2" t="s">
        <v>604</v>
      </c>
      <c r="F219" s="2" t="s">
        <v>675</v>
      </c>
      <c r="G219" s="2" t="s">
        <v>676</v>
      </c>
      <c r="H219" s="2" t="s">
        <v>677</v>
      </c>
      <c r="I219" s="3">
        <v>51</v>
      </c>
      <c r="J219" s="4">
        <v>170</v>
      </c>
      <c r="O219" s="5">
        <v>7</v>
      </c>
      <c r="Q219" s="5">
        <v>31</v>
      </c>
      <c r="R219" s="5">
        <v>49</v>
      </c>
      <c r="S219" s="5">
        <v>50</v>
      </c>
      <c r="T219" s="5">
        <v>50</v>
      </c>
      <c r="U219" s="5">
        <v>50</v>
      </c>
      <c r="V219" s="5">
        <v>50</v>
      </c>
      <c r="W219" s="5">
        <v>50</v>
      </c>
      <c r="X219" s="5">
        <v>50</v>
      </c>
      <c r="Y219" s="5">
        <v>50</v>
      </c>
      <c r="Z219" s="5">
        <v>27</v>
      </c>
      <c r="AA219" s="5">
        <v>8</v>
      </c>
      <c r="AC219" s="5">
        <v>9</v>
      </c>
      <c r="AF219" s="7">
        <f t="shared" si="3"/>
        <v>481</v>
      </c>
    </row>
    <row r="220" spans="1:32" ht="15" customHeight="1" x14ac:dyDescent="0.25">
      <c r="A220" t="str">
        <f>IFERROR(_xlfn.XLOOKUP(--F220,[1]imagenes!$D:$D,[1]imagenes!$A:$A),"")</f>
        <v/>
      </c>
      <c r="B220" s="2" t="s">
        <v>32</v>
      </c>
      <c r="C220" s="2" t="s">
        <v>502</v>
      </c>
      <c r="D220" s="2" t="s">
        <v>134</v>
      </c>
      <c r="E220" s="2" t="s">
        <v>608</v>
      </c>
      <c r="F220" s="2" t="s">
        <v>678</v>
      </c>
      <c r="G220" s="2" t="s">
        <v>679</v>
      </c>
      <c r="H220" s="2" t="s">
        <v>677</v>
      </c>
      <c r="I220" s="3">
        <v>50.5</v>
      </c>
      <c r="J220" s="4">
        <v>180</v>
      </c>
      <c r="Q220" s="5">
        <v>9</v>
      </c>
      <c r="R220" s="5">
        <v>23</v>
      </c>
      <c r="S220" s="5">
        <v>50</v>
      </c>
      <c r="T220" s="5">
        <v>50</v>
      </c>
      <c r="U220" s="5">
        <v>50</v>
      </c>
      <c r="V220" s="5">
        <v>50</v>
      </c>
      <c r="W220" s="5">
        <v>50</v>
      </c>
      <c r="X220" s="5">
        <v>50</v>
      </c>
      <c r="Y220" s="5">
        <v>50</v>
      </c>
      <c r="Z220" s="5">
        <v>43</v>
      </c>
      <c r="AA220" s="5">
        <v>46</v>
      </c>
      <c r="AC220" s="5">
        <v>29</v>
      </c>
      <c r="AF220" s="7">
        <f t="shared" si="3"/>
        <v>500</v>
      </c>
    </row>
    <row r="221" spans="1:32" ht="15" customHeight="1" x14ac:dyDescent="0.25">
      <c r="A221" t="str">
        <f>IFERROR(_xlfn.XLOOKUP(--F221,[1]imagenes!$D:$D,[1]imagenes!$A:$A),"")</f>
        <v/>
      </c>
      <c r="B221" s="2" t="s">
        <v>32</v>
      </c>
      <c r="C221" s="2" t="s">
        <v>502</v>
      </c>
      <c r="D221" s="2" t="s">
        <v>134</v>
      </c>
      <c r="E221" s="2" t="s">
        <v>608</v>
      </c>
      <c r="F221" s="2" t="s">
        <v>680</v>
      </c>
      <c r="G221" s="2" t="s">
        <v>681</v>
      </c>
      <c r="H221" s="2" t="s">
        <v>88</v>
      </c>
      <c r="I221" s="3">
        <v>50.5</v>
      </c>
      <c r="J221" s="4">
        <v>180</v>
      </c>
      <c r="Q221" s="5">
        <v>32</v>
      </c>
      <c r="R221" s="5">
        <v>27</v>
      </c>
      <c r="S221" s="5">
        <v>50</v>
      </c>
      <c r="T221" s="5">
        <v>50</v>
      </c>
      <c r="U221" s="5">
        <v>50</v>
      </c>
      <c r="V221" s="5">
        <v>50</v>
      </c>
      <c r="W221" s="5">
        <v>50</v>
      </c>
      <c r="X221" s="5">
        <v>35</v>
      </c>
      <c r="Y221" s="5">
        <v>35</v>
      </c>
      <c r="AF221" s="7">
        <f t="shared" si="3"/>
        <v>379</v>
      </c>
    </row>
    <row r="222" spans="1:32" ht="15" customHeight="1" x14ac:dyDescent="0.25">
      <c r="A222" t="str">
        <f>IFERROR(_xlfn.XLOOKUP(--F222,[1]imagenes!$D:$D,[1]imagenes!$A:$A),"")</f>
        <v/>
      </c>
      <c r="B222" s="2" t="s">
        <v>32</v>
      </c>
      <c r="C222" s="2" t="s">
        <v>502</v>
      </c>
      <c r="D222" s="2" t="s">
        <v>134</v>
      </c>
      <c r="E222" s="2" t="s">
        <v>608</v>
      </c>
      <c r="F222" s="2" t="s">
        <v>682</v>
      </c>
      <c r="G222" s="2" t="s">
        <v>683</v>
      </c>
      <c r="H222" s="2" t="s">
        <v>684</v>
      </c>
      <c r="I222" s="3">
        <v>50.5</v>
      </c>
      <c r="J222" s="4">
        <v>180</v>
      </c>
      <c r="Q222" s="5">
        <v>8</v>
      </c>
      <c r="R222" s="5">
        <v>43</v>
      </c>
      <c r="S222" s="5">
        <v>50</v>
      </c>
      <c r="T222" s="5">
        <v>50</v>
      </c>
      <c r="U222" s="5">
        <v>50</v>
      </c>
      <c r="V222" s="5">
        <v>50</v>
      </c>
      <c r="W222" s="5">
        <v>50</v>
      </c>
      <c r="X222" s="5">
        <v>50</v>
      </c>
      <c r="Y222" s="5">
        <v>50</v>
      </c>
      <c r="Z222" s="5">
        <v>28</v>
      </c>
      <c r="AA222" s="5">
        <v>28</v>
      </c>
      <c r="AF222" s="7">
        <f t="shared" si="3"/>
        <v>457</v>
      </c>
    </row>
    <row r="223" spans="1:32" ht="15" customHeight="1" x14ac:dyDescent="0.25">
      <c r="A223" t="str">
        <f>IFERROR(_xlfn.XLOOKUP(--F223,[1]imagenes!$D:$D,[1]imagenes!$A:$A),"")</f>
        <v/>
      </c>
      <c r="B223" s="2" t="s">
        <v>32</v>
      </c>
      <c r="C223" s="2" t="s">
        <v>685</v>
      </c>
      <c r="D223" s="2" t="s">
        <v>686</v>
      </c>
      <c r="E223" s="2" t="s">
        <v>503</v>
      </c>
      <c r="F223" s="2" t="s">
        <v>687</v>
      </c>
      <c r="G223" s="2" t="s">
        <v>688</v>
      </c>
      <c r="H223" s="2" t="s">
        <v>689</v>
      </c>
      <c r="I223" s="3">
        <v>27.5</v>
      </c>
      <c r="J223" s="4">
        <v>85</v>
      </c>
      <c r="U223" s="5">
        <v>32</v>
      </c>
      <c r="W223" s="5">
        <v>29</v>
      </c>
      <c r="Y223" s="5">
        <v>39</v>
      </c>
      <c r="AA223" s="5">
        <v>48</v>
      </c>
      <c r="AC223" s="5">
        <v>50</v>
      </c>
      <c r="AD223" s="5">
        <v>42</v>
      </c>
      <c r="AF223" s="7">
        <f t="shared" si="3"/>
        <v>240</v>
      </c>
    </row>
    <row r="224" spans="1:32" ht="15" customHeight="1" x14ac:dyDescent="0.25">
      <c r="A224" t="str">
        <f>IFERROR(_xlfn.XLOOKUP(--F224,[1]imagenes!$D:$D,[1]imagenes!$A:$A),"")</f>
        <v/>
      </c>
      <c r="B224" s="2" t="s">
        <v>32</v>
      </c>
      <c r="C224" s="2" t="s">
        <v>685</v>
      </c>
      <c r="D224" s="2" t="s">
        <v>686</v>
      </c>
      <c r="E224" s="2" t="s">
        <v>503</v>
      </c>
      <c r="F224" s="2" t="s">
        <v>690</v>
      </c>
      <c r="G224" s="2" t="s">
        <v>691</v>
      </c>
      <c r="H224" s="2" t="s">
        <v>692</v>
      </c>
      <c r="I224" s="3">
        <v>27.5</v>
      </c>
      <c r="J224" s="4">
        <v>85</v>
      </c>
      <c r="U224" s="5">
        <v>50</v>
      </c>
      <c r="W224" s="5">
        <v>50</v>
      </c>
      <c r="Y224" s="5">
        <v>50</v>
      </c>
      <c r="AA224" s="5">
        <v>50</v>
      </c>
      <c r="AC224" s="5">
        <v>50</v>
      </c>
      <c r="AD224" s="5">
        <v>50</v>
      </c>
      <c r="AF224" s="7">
        <f t="shared" si="3"/>
        <v>300</v>
      </c>
    </row>
    <row r="225" spans="1:32" ht="15" customHeight="1" x14ac:dyDescent="0.25">
      <c r="A225" t="str">
        <f>IFERROR(_xlfn.XLOOKUP(--F225,[1]imagenes!$D:$D,[1]imagenes!$A:$A),"")</f>
        <v/>
      </c>
      <c r="B225" s="2" t="s">
        <v>32</v>
      </c>
      <c r="C225" s="2" t="s">
        <v>685</v>
      </c>
      <c r="D225" s="2" t="s">
        <v>693</v>
      </c>
      <c r="E225" s="2" t="s">
        <v>503</v>
      </c>
      <c r="F225" s="2" t="s">
        <v>694</v>
      </c>
      <c r="G225" s="2" t="s">
        <v>695</v>
      </c>
      <c r="H225" s="2" t="s">
        <v>696</v>
      </c>
      <c r="I225" s="3">
        <v>27.5</v>
      </c>
      <c r="J225" s="4">
        <v>85</v>
      </c>
      <c r="K225" s="5">
        <v>33</v>
      </c>
      <c r="L225" s="5">
        <v>50</v>
      </c>
      <c r="M225" s="5">
        <v>36</v>
      </c>
      <c r="N225" s="5">
        <v>50</v>
      </c>
      <c r="O225" s="5">
        <v>50</v>
      </c>
      <c r="Q225" s="5">
        <v>50</v>
      </c>
      <c r="S225" s="5">
        <v>50</v>
      </c>
      <c r="AF225" s="7">
        <f t="shared" si="3"/>
        <v>319</v>
      </c>
    </row>
    <row r="226" spans="1:32" ht="15" customHeight="1" x14ac:dyDescent="0.25">
      <c r="A226" t="str">
        <f>IFERROR(_xlfn.XLOOKUP(--F226,[1]imagenes!$D:$D,[1]imagenes!$A:$A),"")</f>
        <v/>
      </c>
      <c r="B226" s="2" t="s">
        <v>32</v>
      </c>
      <c r="C226" s="2" t="s">
        <v>685</v>
      </c>
      <c r="D226" s="2" t="s">
        <v>686</v>
      </c>
      <c r="E226" s="2" t="s">
        <v>519</v>
      </c>
      <c r="F226" s="2" t="s">
        <v>697</v>
      </c>
      <c r="G226" s="2" t="s">
        <v>698</v>
      </c>
      <c r="H226" s="2" t="s">
        <v>641</v>
      </c>
      <c r="I226" s="3">
        <v>27</v>
      </c>
      <c r="J226" s="4">
        <v>80</v>
      </c>
      <c r="U226" s="5">
        <v>50</v>
      </c>
      <c r="W226" s="5">
        <v>50</v>
      </c>
      <c r="Y226" s="5">
        <v>50</v>
      </c>
      <c r="AA226" s="5">
        <v>50</v>
      </c>
      <c r="AC226" s="5">
        <v>50</v>
      </c>
      <c r="AD226" s="5">
        <v>50</v>
      </c>
      <c r="AF226" s="7">
        <f t="shared" si="3"/>
        <v>300</v>
      </c>
    </row>
    <row r="227" spans="1:32" ht="15" customHeight="1" x14ac:dyDescent="0.25">
      <c r="A227" t="str">
        <f>IFERROR(_xlfn.XLOOKUP(--F227,[1]imagenes!$D:$D,[1]imagenes!$A:$A),"")</f>
        <v/>
      </c>
      <c r="B227" s="2" t="s">
        <v>32</v>
      </c>
      <c r="C227" s="2" t="s">
        <v>685</v>
      </c>
      <c r="D227" s="2" t="s">
        <v>686</v>
      </c>
      <c r="E227" s="2" t="s">
        <v>519</v>
      </c>
      <c r="F227" s="2" t="s">
        <v>699</v>
      </c>
      <c r="G227" s="2" t="s">
        <v>700</v>
      </c>
      <c r="H227" s="2" t="s">
        <v>506</v>
      </c>
      <c r="I227" s="3">
        <v>27</v>
      </c>
      <c r="J227" s="4">
        <v>80</v>
      </c>
      <c r="U227" s="5">
        <v>50</v>
      </c>
      <c r="W227" s="5">
        <v>50</v>
      </c>
      <c r="Y227" s="5">
        <v>50</v>
      </c>
      <c r="AA227" s="5">
        <v>50</v>
      </c>
      <c r="AC227" s="5">
        <v>50</v>
      </c>
      <c r="AD227" s="5">
        <v>50</v>
      </c>
      <c r="AF227" s="7">
        <f t="shared" si="3"/>
        <v>300</v>
      </c>
    </row>
    <row r="228" spans="1:32" ht="15" customHeight="1" x14ac:dyDescent="0.25">
      <c r="A228" t="str">
        <f>IFERROR(_xlfn.XLOOKUP(--F228,[1]imagenes!$D:$D,[1]imagenes!$A:$A),"")</f>
        <v/>
      </c>
      <c r="B228" s="2" t="s">
        <v>32</v>
      </c>
      <c r="C228" s="2" t="s">
        <v>685</v>
      </c>
      <c r="D228" s="2" t="s">
        <v>693</v>
      </c>
      <c r="E228" s="2" t="s">
        <v>519</v>
      </c>
      <c r="F228" s="2" t="s">
        <v>701</v>
      </c>
      <c r="G228" s="2" t="s">
        <v>702</v>
      </c>
      <c r="H228" s="2" t="s">
        <v>506</v>
      </c>
      <c r="I228" s="3">
        <v>27</v>
      </c>
      <c r="J228" s="4">
        <v>80</v>
      </c>
      <c r="K228" s="5">
        <v>50</v>
      </c>
      <c r="L228" s="5">
        <v>50</v>
      </c>
      <c r="M228" s="5">
        <v>50</v>
      </c>
      <c r="N228" s="5">
        <v>50</v>
      </c>
      <c r="S228" s="5">
        <v>7</v>
      </c>
      <c r="AF228" s="7">
        <f t="shared" si="3"/>
        <v>207</v>
      </c>
    </row>
    <row r="229" spans="1:32" ht="15" customHeight="1" x14ac:dyDescent="0.25">
      <c r="A229" t="str">
        <f>IFERROR(_xlfn.XLOOKUP(--F229,[1]imagenes!$D:$D,[1]imagenes!$A:$A),"")</f>
        <v/>
      </c>
      <c r="B229" s="2" t="s">
        <v>32</v>
      </c>
      <c r="C229" s="2" t="s">
        <v>685</v>
      </c>
      <c r="D229" s="2" t="s">
        <v>686</v>
      </c>
      <c r="E229" s="2" t="s">
        <v>519</v>
      </c>
      <c r="F229" s="2" t="s">
        <v>703</v>
      </c>
      <c r="G229" s="2" t="s">
        <v>704</v>
      </c>
      <c r="H229" s="2" t="s">
        <v>705</v>
      </c>
      <c r="I229" s="3">
        <v>27</v>
      </c>
      <c r="J229" s="4">
        <v>80</v>
      </c>
      <c r="U229" s="5">
        <v>50</v>
      </c>
      <c r="W229" s="5">
        <v>50</v>
      </c>
      <c r="Y229" s="5">
        <v>50</v>
      </c>
      <c r="AA229" s="5">
        <v>50</v>
      </c>
      <c r="AC229" s="5">
        <v>50</v>
      </c>
      <c r="AD229" s="5">
        <v>50</v>
      </c>
      <c r="AF229" s="7">
        <f t="shared" si="3"/>
        <v>300</v>
      </c>
    </row>
    <row r="230" spans="1:32" ht="15" customHeight="1" x14ac:dyDescent="0.25">
      <c r="A230" t="str">
        <f>IFERROR(_xlfn.XLOOKUP(--F230,[1]imagenes!$D:$D,[1]imagenes!$A:$A),"")</f>
        <v/>
      </c>
      <c r="B230" s="2" t="s">
        <v>32</v>
      </c>
      <c r="C230" s="2" t="s">
        <v>685</v>
      </c>
      <c r="D230" s="2" t="s">
        <v>706</v>
      </c>
      <c r="E230" s="2" t="s">
        <v>707</v>
      </c>
      <c r="F230" s="2" t="s">
        <v>708</v>
      </c>
      <c r="G230" s="2" t="s">
        <v>709</v>
      </c>
      <c r="H230" s="2" t="s">
        <v>710</v>
      </c>
      <c r="I230" s="3">
        <v>16</v>
      </c>
      <c r="J230" s="4">
        <v>55</v>
      </c>
      <c r="N230" s="5">
        <v>21</v>
      </c>
      <c r="O230" s="5">
        <v>38</v>
      </c>
      <c r="Q230" s="5">
        <v>50</v>
      </c>
      <c r="S230" s="5">
        <v>50</v>
      </c>
      <c r="AF230" s="7">
        <f t="shared" si="3"/>
        <v>159</v>
      </c>
    </row>
    <row r="231" spans="1:32" ht="15" customHeight="1" x14ac:dyDescent="0.25">
      <c r="A231" t="str">
        <f>IFERROR(_xlfn.XLOOKUP(--F231,[1]imagenes!$D:$D,[1]imagenes!$A:$A),"")</f>
        <v/>
      </c>
      <c r="B231" s="2" t="s">
        <v>32</v>
      </c>
      <c r="C231" s="2" t="s">
        <v>685</v>
      </c>
      <c r="D231" s="2" t="s">
        <v>686</v>
      </c>
      <c r="E231" s="2" t="s">
        <v>707</v>
      </c>
      <c r="F231" s="2" t="s">
        <v>711</v>
      </c>
      <c r="G231" s="2" t="s">
        <v>712</v>
      </c>
      <c r="H231" s="2" t="s">
        <v>713</v>
      </c>
      <c r="I231" s="3">
        <v>17</v>
      </c>
      <c r="J231" s="4">
        <v>55</v>
      </c>
      <c r="U231" s="5">
        <v>41</v>
      </c>
      <c r="W231" s="5">
        <v>50</v>
      </c>
      <c r="Y231" s="5">
        <v>50</v>
      </c>
      <c r="AA231" s="5">
        <v>37</v>
      </c>
      <c r="AC231" s="5">
        <v>49</v>
      </c>
      <c r="AD231" s="5">
        <v>41</v>
      </c>
      <c r="AF231" s="7">
        <f t="shared" si="3"/>
        <v>268</v>
      </c>
    </row>
    <row r="232" spans="1:32" ht="15" customHeight="1" x14ac:dyDescent="0.25">
      <c r="A232" t="str">
        <f>IFERROR(_xlfn.XLOOKUP(--F232,[1]imagenes!$D:$D,[1]imagenes!$A:$A),"")</f>
        <v/>
      </c>
      <c r="B232" s="2" t="s">
        <v>32</v>
      </c>
      <c r="C232" s="2" t="s">
        <v>685</v>
      </c>
      <c r="D232" s="2" t="s">
        <v>706</v>
      </c>
      <c r="E232" s="2" t="s">
        <v>707</v>
      </c>
      <c r="F232" s="2" t="s">
        <v>714</v>
      </c>
      <c r="G232" s="2" t="s">
        <v>715</v>
      </c>
      <c r="H232" s="2" t="s">
        <v>713</v>
      </c>
      <c r="I232" s="3">
        <v>16</v>
      </c>
      <c r="J232" s="4"/>
      <c r="N232" s="5">
        <v>41</v>
      </c>
      <c r="O232" s="5">
        <v>50</v>
      </c>
      <c r="Q232" s="5">
        <v>50</v>
      </c>
      <c r="S232" s="5">
        <v>50</v>
      </c>
      <c r="AF232" s="7">
        <f t="shared" si="3"/>
        <v>191</v>
      </c>
    </row>
    <row r="233" spans="1:32" ht="15" customHeight="1" x14ac:dyDescent="0.25">
      <c r="A233" t="str">
        <f>IFERROR(_xlfn.XLOOKUP(--F233,[1]imagenes!$D:$D,[1]imagenes!$A:$A),"")</f>
        <v/>
      </c>
      <c r="B233" s="2" t="s">
        <v>32</v>
      </c>
      <c r="C233" s="2" t="s">
        <v>685</v>
      </c>
      <c r="D233" s="2" t="s">
        <v>686</v>
      </c>
      <c r="E233" s="2" t="s">
        <v>707</v>
      </c>
      <c r="F233" s="2" t="s">
        <v>716</v>
      </c>
      <c r="G233" s="2" t="s">
        <v>717</v>
      </c>
      <c r="H233" s="2" t="s">
        <v>718</v>
      </c>
      <c r="I233" s="3">
        <v>17</v>
      </c>
      <c r="J233" s="4">
        <v>55</v>
      </c>
      <c r="U233" s="5">
        <v>38</v>
      </c>
      <c r="W233" s="5">
        <v>50</v>
      </c>
      <c r="Y233" s="5">
        <v>50</v>
      </c>
      <c r="AA233" s="5">
        <v>50</v>
      </c>
      <c r="AC233" s="5">
        <v>50</v>
      </c>
      <c r="AD233" s="5">
        <v>50</v>
      </c>
      <c r="AF233" s="7">
        <f t="shared" si="3"/>
        <v>288</v>
      </c>
    </row>
    <row r="234" spans="1:32" ht="15" customHeight="1" x14ac:dyDescent="0.25">
      <c r="A234" t="str">
        <f>IFERROR(_xlfn.XLOOKUP(--F234,[1]imagenes!$D:$D,[1]imagenes!$A:$A),"")</f>
        <v/>
      </c>
      <c r="B234" s="2" t="s">
        <v>32</v>
      </c>
      <c r="C234" s="2" t="s">
        <v>685</v>
      </c>
      <c r="D234" s="2" t="s">
        <v>686</v>
      </c>
      <c r="E234" s="2" t="s">
        <v>337</v>
      </c>
      <c r="F234" s="2" t="s">
        <v>719</v>
      </c>
      <c r="G234" s="2" t="s">
        <v>720</v>
      </c>
      <c r="H234" s="2" t="s">
        <v>360</v>
      </c>
      <c r="I234" s="3">
        <v>20</v>
      </c>
      <c r="J234" s="4">
        <v>62</v>
      </c>
      <c r="U234" s="5">
        <v>31</v>
      </c>
      <c r="W234" s="5">
        <v>31</v>
      </c>
      <c r="Y234" s="5">
        <v>33</v>
      </c>
      <c r="AA234" s="5">
        <v>40</v>
      </c>
      <c r="AC234" s="5">
        <v>45</v>
      </c>
      <c r="AD234" s="5">
        <v>50</v>
      </c>
      <c r="AF234" s="7">
        <f t="shared" si="3"/>
        <v>230</v>
      </c>
    </row>
    <row r="235" spans="1:32" ht="15" customHeight="1" x14ac:dyDescent="0.25">
      <c r="A235" t="str">
        <f>IFERROR(_xlfn.XLOOKUP(--F235,[1]imagenes!$D:$D,[1]imagenes!$A:$A),"")</f>
        <v/>
      </c>
      <c r="B235" s="2" t="s">
        <v>32</v>
      </c>
      <c r="C235" s="2" t="s">
        <v>685</v>
      </c>
      <c r="D235" s="2" t="s">
        <v>686</v>
      </c>
      <c r="E235" s="2" t="s">
        <v>337</v>
      </c>
      <c r="F235" s="2" t="s">
        <v>721</v>
      </c>
      <c r="G235" s="2" t="s">
        <v>722</v>
      </c>
      <c r="H235" s="2" t="s">
        <v>723</v>
      </c>
      <c r="I235" s="3">
        <v>20</v>
      </c>
      <c r="J235" s="4">
        <v>62</v>
      </c>
      <c r="U235" s="5">
        <v>41</v>
      </c>
      <c r="W235" s="5">
        <v>49</v>
      </c>
      <c r="Y235" s="5">
        <v>50</v>
      </c>
      <c r="AA235" s="5">
        <v>50</v>
      </c>
      <c r="AC235" s="5">
        <v>50</v>
      </c>
      <c r="AD235" s="5">
        <v>50</v>
      </c>
      <c r="AF235" s="7">
        <f t="shared" si="3"/>
        <v>290</v>
      </c>
    </row>
    <row r="236" spans="1:32" ht="15" customHeight="1" x14ac:dyDescent="0.25">
      <c r="A236" t="str">
        <f>IFERROR(_xlfn.XLOOKUP(--F236,[1]imagenes!$D:$D,[1]imagenes!$A:$A),"")</f>
        <v/>
      </c>
      <c r="B236" s="2" t="s">
        <v>32</v>
      </c>
      <c r="C236" s="2" t="s">
        <v>685</v>
      </c>
      <c r="D236" s="2" t="s">
        <v>686</v>
      </c>
      <c r="E236" s="2" t="s">
        <v>337</v>
      </c>
      <c r="F236" s="2" t="s">
        <v>724</v>
      </c>
      <c r="G236" s="2" t="s">
        <v>725</v>
      </c>
      <c r="H236" s="2" t="s">
        <v>726</v>
      </c>
      <c r="I236" s="3">
        <v>20</v>
      </c>
      <c r="J236" s="4">
        <v>62</v>
      </c>
      <c r="U236" s="5">
        <v>50</v>
      </c>
      <c r="W236" s="5">
        <v>50</v>
      </c>
      <c r="Y236" s="5">
        <v>50</v>
      </c>
      <c r="AA236" s="5">
        <v>50</v>
      </c>
      <c r="AC236" s="5">
        <v>50</v>
      </c>
      <c r="AD236" s="5">
        <v>50</v>
      </c>
      <c r="AF236" s="7">
        <f t="shared" si="3"/>
        <v>300</v>
      </c>
    </row>
    <row r="237" spans="1:32" ht="15" customHeight="1" x14ac:dyDescent="0.25">
      <c r="A237" t="str">
        <f>IFERROR(_xlfn.XLOOKUP(--F237,[1]imagenes!$D:$D,[1]imagenes!$A:$A),"")</f>
        <v/>
      </c>
      <c r="B237" s="2" t="s">
        <v>32</v>
      </c>
      <c r="C237" s="2" t="s">
        <v>685</v>
      </c>
      <c r="D237" s="2" t="s">
        <v>706</v>
      </c>
      <c r="E237" s="2" t="s">
        <v>337</v>
      </c>
      <c r="F237" s="2" t="s">
        <v>727</v>
      </c>
      <c r="G237" s="2" t="s">
        <v>728</v>
      </c>
      <c r="H237" s="2" t="s">
        <v>726</v>
      </c>
      <c r="I237" s="3">
        <v>18.5</v>
      </c>
      <c r="J237" s="4">
        <v>57</v>
      </c>
      <c r="N237" s="5">
        <v>50</v>
      </c>
      <c r="O237" s="5">
        <v>50</v>
      </c>
      <c r="Q237" s="5">
        <v>50</v>
      </c>
      <c r="S237" s="5">
        <v>50</v>
      </c>
      <c r="AF237" s="7">
        <f t="shared" si="3"/>
        <v>200</v>
      </c>
    </row>
    <row r="238" spans="1:32" ht="15" customHeight="1" x14ac:dyDescent="0.25">
      <c r="A238" t="str">
        <f>IFERROR(_xlfn.XLOOKUP(--F238,[1]imagenes!$D:$D,[1]imagenes!$A:$A),"")</f>
        <v/>
      </c>
      <c r="B238" s="2" t="s">
        <v>32</v>
      </c>
      <c r="C238" s="2" t="s">
        <v>685</v>
      </c>
      <c r="D238" s="2" t="s">
        <v>693</v>
      </c>
      <c r="E238" s="2" t="s">
        <v>337</v>
      </c>
      <c r="F238" s="2" t="s">
        <v>729</v>
      </c>
      <c r="G238" s="2" t="s">
        <v>730</v>
      </c>
      <c r="H238" s="2" t="s">
        <v>726</v>
      </c>
      <c r="I238" s="3">
        <v>20</v>
      </c>
      <c r="J238" s="4">
        <v>62</v>
      </c>
      <c r="K238" s="5">
        <v>42</v>
      </c>
      <c r="L238" s="5">
        <v>50</v>
      </c>
      <c r="M238" s="5">
        <v>23</v>
      </c>
      <c r="N238" s="5">
        <v>25</v>
      </c>
      <c r="O238" s="5">
        <v>34</v>
      </c>
      <c r="S238" s="5">
        <v>38</v>
      </c>
      <c r="AF238" s="7">
        <f t="shared" si="3"/>
        <v>212</v>
      </c>
    </row>
    <row r="239" spans="1:32" ht="15" customHeight="1" x14ac:dyDescent="0.25">
      <c r="A239" t="str">
        <f>IFERROR(_xlfn.XLOOKUP(--F239,[1]imagenes!$D:$D,[1]imagenes!$A:$A),"")</f>
        <v/>
      </c>
      <c r="B239" s="2" t="s">
        <v>32</v>
      </c>
      <c r="C239" s="2" t="s">
        <v>685</v>
      </c>
      <c r="D239" s="2" t="s">
        <v>686</v>
      </c>
      <c r="E239" s="2" t="s">
        <v>337</v>
      </c>
      <c r="F239" s="2" t="s">
        <v>731</v>
      </c>
      <c r="G239" s="2" t="s">
        <v>732</v>
      </c>
      <c r="H239" s="2" t="s">
        <v>733</v>
      </c>
      <c r="I239" s="3">
        <v>20</v>
      </c>
      <c r="J239" s="4">
        <v>62</v>
      </c>
      <c r="U239" s="5">
        <v>47</v>
      </c>
      <c r="W239" s="5">
        <v>30</v>
      </c>
      <c r="Y239" s="5">
        <v>50</v>
      </c>
      <c r="AA239" s="5">
        <v>50</v>
      </c>
      <c r="AC239" s="5">
        <v>50</v>
      </c>
      <c r="AD239" s="5">
        <v>50</v>
      </c>
      <c r="AF239" s="7">
        <f t="shared" si="3"/>
        <v>277</v>
      </c>
    </row>
    <row r="240" spans="1:32" ht="15" customHeight="1" x14ac:dyDescent="0.25">
      <c r="A240" t="str">
        <f>IFERROR(_xlfn.XLOOKUP(--F240,[1]imagenes!$D:$D,[1]imagenes!$A:$A),"")</f>
        <v/>
      </c>
      <c r="B240" s="2" t="s">
        <v>32</v>
      </c>
      <c r="C240" s="2" t="s">
        <v>685</v>
      </c>
      <c r="D240" s="2" t="s">
        <v>706</v>
      </c>
      <c r="E240" s="2" t="s">
        <v>337</v>
      </c>
      <c r="F240" s="2" t="s">
        <v>734</v>
      </c>
      <c r="G240" s="2" t="s">
        <v>735</v>
      </c>
      <c r="H240" s="2" t="s">
        <v>733</v>
      </c>
      <c r="I240" s="3">
        <v>18.5</v>
      </c>
      <c r="J240" s="4">
        <v>57</v>
      </c>
      <c r="N240" s="5">
        <v>50</v>
      </c>
      <c r="O240" s="5">
        <v>50</v>
      </c>
      <c r="Q240" s="5">
        <v>50</v>
      </c>
      <c r="S240" s="5">
        <v>50</v>
      </c>
      <c r="AF240" s="7">
        <f t="shared" si="3"/>
        <v>200</v>
      </c>
    </row>
    <row r="241" spans="1:32" ht="15" customHeight="1" x14ac:dyDescent="0.25">
      <c r="A241" t="str">
        <f>IFERROR(_xlfn.XLOOKUP(--F241,[1]imagenes!$D:$D,[1]imagenes!$A:$A),"")</f>
        <v/>
      </c>
      <c r="B241" s="2" t="s">
        <v>32</v>
      </c>
      <c r="C241" s="2" t="s">
        <v>685</v>
      </c>
      <c r="D241" s="2" t="s">
        <v>693</v>
      </c>
      <c r="E241" s="2" t="s">
        <v>337</v>
      </c>
      <c r="F241" s="2" t="s">
        <v>736</v>
      </c>
      <c r="G241" s="2" t="s">
        <v>737</v>
      </c>
      <c r="H241" s="2" t="s">
        <v>733</v>
      </c>
      <c r="I241" s="3">
        <v>20</v>
      </c>
      <c r="J241" s="4">
        <v>62</v>
      </c>
      <c r="K241" s="5">
        <v>50</v>
      </c>
      <c r="L241" s="5">
        <v>50</v>
      </c>
      <c r="M241" s="5">
        <v>50</v>
      </c>
      <c r="N241" s="5">
        <v>50</v>
      </c>
      <c r="O241" s="5">
        <v>50</v>
      </c>
      <c r="Q241" s="5">
        <v>50</v>
      </c>
      <c r="S241" s="5">
        <v>50</v>
      </c>
      <c r="AF241" s="7">
        <f t="shared" si="3"/>
        <v>350</v>
      </c>
    </row>
    <row r="242" spans="1:32" ht="15" customHeight="1" x14ac:dyDescent="0.25">
      <c r="A242" t="str">
        <f>IFERROR(_xlfn.XLOOKUP(--F242,[1]imagenes!$D:$D,[1]imagenes!$A:$A),"")</f>
        <v/>
      </c>
      <c r="B242" s="2" t="s">
        <v>32</v>
      </c>
      <c r="C242" s="2" t="s">
        <v>685</v>
      </c>
      <c r="D242" s="2" t="s">
        <v>686</v>
      </c>
      <c r="E242" s="2" t="s">
        <v>738</v>
      </c>
      <c r="F242" s="2" t="s">
        <v>739</v>
      </c>
      <c r="G242" s="2" t="s">
        <v>740</v>
      </c>
      <c r="H242" s="2" t="s">
        <v>103</v>
      </c>
      <c r="I242" s="3">
        <v>26</v>
      </c>
      <c r="J242" s="4">
        <v>80</v>
      </c>
      <c r="U242" s="5">
        <v>26</v>
      </c>
      <c r="W242" s="5">
        <v>39</v>
      </c>
      <c r="Y242" s="5">
        <v>50</v>
      </c>
      <c r="AA242" s="5">
        <v>50</v>
      </c>
      <c r="AC242" s="5">
        <v>50</v>
      </c>
      <c r="AD242" s="5">
        <v>50</v>
      </c>
      <c r="AF242" s="7">
        <f t="shared" si="3"/>
        <v>265</v>
      </c>
    </row>
    <row r="243" spans="1:32" ht="15" customHeight="1" x14ac:dyDescent="0.25">
      <c r="A243" t="str">
        <f>IFERROR(_xlfn.XLOOKUP(--F243,[1]imagenes!$D:$D,[1]imagenes!$A:$A),"")</f>
        <v/>
      </c>
      <c r="B243" s="2" t="s">
        <v>32</v>
      </c>
      <c r="C243" s="2" t="s">
        <v>685</v>
      </c>
      <c r="D243" s="2" t="s">
        <v>693</v>
      </c>
      <c r="E243" s="2" t="s">
        <v>738</v>
      </c>
      <c r="F243" s="2" t="s">
        <v>741</v>
      </c>
      <c r="G243" s="2" t="s">
        <v>742</v>
      </c>
      <c r="H243" s="2" t="s">
        <v>103</v>
      </c>
      <c r="I243" s="3">
        <v>26</v>
      </c>
      <c r="J243" s="4">
        <v>80</v>
      </c>
      <c r="K243" s="5">
        <v>43</v>
      </c>
      <c r="L243" s="5">
        <v>40</v>
      </c>
      <c r="M243" s="5">
        <v>35</v>
      </c>
      <c r="N243" s="5">
        <v>35</v>
      </c>
      <c r="O243" s="5">
        <v>36</v>
      </c>
      <c r="Q243" s="5">
        <v>39</v>
      </c>
      <c r="S243" s="5">
        <v>31</v>
      </c>
      <c r="AF243" s="7">
        <f t="shared" si="3"/>
        <v>259</v>
      </c>
    </row>
    <row r="244" spans="1:32" ht="15" customHeight="1" x14ac:dyDescent="0.25">
      <c r="A244" t="str">
        <f>IFERROR(_xlfn.XLOOKUP(--F244,[1]imagenes!$D:$D,[1]imagenes!$A:$A),"")</f>
        <v/>
      </c>
      <c r="B244" s="2" t="s">
        <v>32</v>
      </c>
      <c r="C244" s="2" t="s">
        <v>685</v>
      </c>
      <c r="D244" s="2" t="s">
        <v>686</v>
      </c>
      <c r="E244" s="2" t="s">
        <v>738</v>
      </c>
      <c r="F244" s="2" t="s">
        <v>743</v>
      </c>
      <c r="G244" s="2" t="s">
        <v>744</v>
      </c>
      <c r="H244" s="2" t="s">
        <v>745</v>
      </c>
      <c r="I244" s="3">
        <v>26</v>
      </c>
      <c r="J244" s="4">
        <v>80</v>
      </c>
      <c r="U244" s="5">
        <v>29</v>
      </c>
      <c r="W244" s="5">
        <v>43</v>
      </c>
      <c r="Y244" s="5">
        <v>50</v>
      </c>
      <c r="AA244" s="5">
        <v>50</v>
      </c>
      <c r="AC244" s="5">
        <v>50</v>
      </c>
      <c r="AD244" s="5">
        <v>50</v>
      </c>
      <c r="AF244" s="7">
        <f t="shared" si="3"/>
        <v>272</v>
      </c>
    </row>
    <row r="245" spans="1:32" ht="15" customHeight="1" x14ac:dyDescent="0.25">
      <c r="A245" t="str">
        <f>IFERROR(_xlfn.XLOOKUP(--F245,[1]imagenes!$D:$D,[1]imagenes!$A:$A),"")</f>
        <v/>
      </c>
      <c r="B245" s="2" t="s">
        <v>32</v>
      </c>
      <c r="C245" s="2" t="s">
        <v>685</v>
      </c>
      <c r="D245" s="2" t="s">
        <v>693</v>
      </c>
      <c r="E245" s="2" t="s">
        <v>738</v>
      </c>
      <c r="F245" s="2" t="s">
        <v>746</v>
      </c>
      <c r="G245" s="2" t="s">
        <v>747</v>
      </c>
      <c r="H245" s="2" t="s">
        <v>745</v>
      </c>
      <c r="I245" s="3">
        <v>26</v>
      </c>
      <c r="J245" s="4">
        <v>80</v>
      </c>
      <c r="K245" s="5">
        <v>50</v>
      </c>
      <c r="L245" s="5">
        <v>50</v>
      </c>
      <c r="M245" s="5">
        <v>50</v>
      </c>
      <c r="N245" s="5">
        <v>50</v>
      </c>
      <c r="O245" s="5">
        <v>50</v>
      </c>
      <c r="Q245" s="5">
        <v>50</v>
      </c>
      <c r="S245" s="5">
        <v>47</v>
      </c>
      <c r="AF245" s="7">
        <f t="shared" si="3"/>
        <v>347</v>
      </c>
    </row>
    <row r="246" spans="1:32" ht="15" customHeight="1" x14ac:dyDescent="0.25">
      <c r="A246" t="str">
        <f>IFERROR(_xlfn.XLOOKUP(--F246,[1]imagenes!$D:$D,[1]imagenes!$A:$A),"")</f>
        <v/>
      </c>
      <c r="B246" s="2" t="s">
        <v>32</v>
      </c>
      <c r="C246" s="2" t="s">
        <v>685</v>
      </c>
      <c r="D246" s="2" t="s">
        <v>686</v>
      </c>
      <c r="E246" s="2" t="s">
        <v>738</v>
      </c>
      <c r="F246" s="2" t="s">
        <v>748</v>
      </c>
      <c r="G246" s="2" t="s">
        <v>749</v>
      </c>
      <c r="H246" s="2" t="s">
        <v>750</v>
      </c>
      <c r="I246" s="3">
        <v>26</v>
      </c>
      <c r="J246" s="4">
        <v>80</v>
      </c>
      <c r="U246" s="5">
        <v>36</v>
      </c>
      <c r="W246" s="5">
        <v>50</v>
      </c>
      <c r="Y246" s="5">
        <v>50</v>
      </c>
      <c r="AA246" s="5">
        <v>50</v>
      </c>
      <c r="AC246" s="5">
        <v>50</v>
      </c>
      <c r="AD246" s="5">
        <v>50</v>
      </c>
      <c r="AF246" s="7">
        <f t="shared" si="3"/>
        <v>286</v>
      </c>
    </row>
    <row r="247" spans="1:32" ht="15" customHeight="1" x14ac:dyDescent="0.25">
      <c r="A247" t="str">
        <f>IFERROR(_xlfn.XLOOKUP(--F247,[1]imagenes!$D:$D,[1]imagenes!$A:$A),"")</f>
        <v/>
      </c>
      <c r="B247" s="2" t="s">
        <v>32</v>
      </c>
      <c r="C247" s="2" t="s">
        <v>685</v>
      </c>
      <c r="D247" s="2" t="s">
        <v>693</v>
      </c>
      <c r="E247" s="2" t="s">
        <v>738</v>
      </c>
      <c r="F247" s="2" t="s">
        <v>751</v>
      </c>
      <c r="G247" s="2" t="s">
        <v>752</v>
      </c>
      <c r="H247" s="2" t="s">
        <v>750</v>
      </c>
      <c r="I247" s="3">
        <v>26</v>
      </c>
      <c r="J247" s="4">
        <v>80</v>
      </c>
      <c r="K247" s="5">
        <v>50</v>
      </c>
      <c r="L247" s="5">
        <v>50</v>
      </c>
      <c r="M247" s="5">
        <v>50</v>
      </c>
      <c r="N247" s="5">
        <v>50</v>
      </c>
      <c r="O247" s="5">
        <v>50</v>
      </c>
      <c r="Q247" s="5">
        <v>50</v>
      </c>
      <c r="S247" s="5">
        <v>50</v>
      </c>
      <c r="AF247" s="7">
        <f t="shared" si="3"/>
        <v>350</v>
      </c>
    </row>
    <row r="248" spans="1:32" ht="15" customHeight="1" x14ac:dyDescent="0.25">
      <c r="A248" t="str">
        <f>IFERROR(_xlfn.XLOOKUP(--F248,[1]imagenes!$D:$D,[1]imagenes!$A:$A),"")</f>
        <v/>
      </c>
      <c r="B248" s="2" t="s">
        <v>32</v>
      </c>
      <c r="C248" s="2" t="s">
        <v>685</v>
      </c>
      <c r="D248" s="2" t="s">
        <v>686</v>
      </c>
      <c r="E248" s="2" t="s">
        <v>738</v>
      </c>
      <c r="F248" s="2" t="s">
        <v>753</v>
      </c>
      <c r="G248" s="2" t="s">
        <v>754</v>
      </c>
      <c r="H248" s="2" t="s">
        <v>755</v>
      </c>
      <c r="I248" s="3">
        <v>26</v>
      </c>
      <c r="J248" s="4">
        <v>80</v>
      </c>
      <c r="U248" s="5">
        <v>20</v>
      </c>
      <c r="W248" s="5">
        <v>33</v>
      </c>
      <c r="Y248" s="5">
        <v>49</v>
      </c>
      <c r="AA248" s="5">
        <v>43</v>
      </c>
      <c r="AC248" s="5">
        <v>47</v>
      </c>
      <c r="AD248" s="5">
        <v>47</v>
      </c>
      <c r="AF248" s="7">
        <f t="shared" si="3"/>
        <v>239</v>
      </c>
    </row>
    <row r="249" spans="1:32" ht="15" customHeight="1" x14ac:dyDescent="0.25">
      <c r="A249" t="str">
        <f>IFERROR(_xlfn.XLOOKUP(--F249,[1]imagenes!$D:$D,[1]imagenes!$A:$A),"")</f>
        <v/>
      </c>
      <c r="B249" s="2" t="s">
        <v>32</v>
      </c>
      <c r="C249" s="2" t="s">
        <v>685</v>
      </c>
      <c r="D249" s="2" t="s">
        <v>693</v>
      </c>
      <c r="E249" s="2" t="s">
        <v>738</v>
      </c>
      <c r="F249" s="2" t="s">
        <v>756</v>
      </c>
      <c r="G249" s="2" t="s">
        <v>757</v>
      </c>
      <c r="H249" s="2" t="s">
        <v>755</v>
      </c>
      <c r="I249" s="3">
        <v>26</v>
      </c>
      <c r="J249" s="4">
        <v>80</v>
      </c>
      <c r="K249" s="5">
        <v>38</v>
      </c>
      <c r="L249" s="5">
        <v>36</v>
      </c>
      <c r="M249" s="5">
        <v>33</v>
      </c>
      <c r="N249" s="5">
        <v>32</v>
      </c>
      <c r="O249" s="5">
        <v>33</v>
      </c>
      <c r="Q249" s="5">
        <v>36</v>
      </c>
      <c r="S249" s="5">
        <v>33</v>
      </c>
      <c r="AF249" s="7">
        <f t="shared" si="3"/>
        <v>241</v>
      </c>
    </row>
    <row r="250" spans="1:32" ht="15" customHeight="1" x14ac:dyDescent="0.25">
      <c r="A250" t="str">
        <f>IFERROR(_xlfn.XLOOKUP(--F250,[1]imagenes!$D:$D,[1]imagenes!$A:$A),"")</f>
        <v/>
      </c>
      <c r="B250" s="2" t="s">
        <v>32</v>
      </c>
      <c r="C250" s="2" t="s">
        <v>685</v>
      </c>
      <c r="D250" s="2" t="s">
        <v>686</v>
      </c>
      <c r="E250" s="2" t="s">
        <v>73</v>
      </c>
      <c r="F250" s="2" t="s">
        <v>758</v>
      </c>
      <c r="G250" s="2" t="s">
        <v>759</v>
      </c>
      <c r="H250" s="2" t="s">
        <v>760</v>
      </c>
      <c r="I250" s="3">
        <v>24</v>
      </c>
      <c r="J250" s="4">
        <v>75</v>
      </c>
      <c r="U250" s="5">
        <v>44</v>
      </c>
      <c r="W250" s="5">
        <v>44</v>
      </c>
      <c r="Y250" s="5">
        <v>46</v>
      </c>
      <c r="AA250" s="5">
        <v>50</v>
      </c>
      <c r="AC250" s="5">
        <v>50</v>
      </c>
      <c r="AD250" s="5">
        <v>50</v>
      </c>
      <c r="AF250" s="7">
        <f t="shared" si="3"/>
        <v>284</v>
      </c>
    </row>
    <row r="251" spans="1:32" ht="15" customHeight="1" x14ac:dyDescent="0.25">
      <c r="A251" t="str">
        <f>IFERROR(_xlfn.XLOOKUP(--F251,[1]imagenes!$D:$D,[1]imagenes!$A:$A),"")</f>
        <v/>
      </c>
      <c r="B251" s="2" t="s">
        <v>32</v>
      </c>
      <c r="C251" s="2" t="s">
        <v>685</v>
      </c>
      <c r="D251" s="2" t="s">
        <v>686</v>
      </c>
      <c r="E251" s="2" t="s">
        <v>73</v>
      </c>
      <c r="F251" s="2" t="s">
        <v>761</v>
      </c>
      <c r="G251" s="2" t="s">
        <v>762</v>
      </c>
      <c r="H251" s="2" t="s">
        <v>763</v>
      </c>
      <c r="I251" s="3">
        <v>24</v>
      </c>
      <c r="J251" s="4">
        <v>75</v>
      </c>
      <c r="U251" s="5">
        <v>34</v>
      </c>
      <c r="W251" s="5">
        <v>28</v>
      </c>
      <c r="Y251" s="5">
        <v>29</v>
      </c>
      <c r="AA251" s="5">
        <v>30</v>
      </c>
      <c r="AC251" s="5">
        <v>48</v>
      </c>
      <c r="AD251" s="5">
        <v>45</v>
      </c>
      <c r="AF251" s="7">
        <f t="shared" si="3"/>
        <v>214</v>
      </c>
    </row>
    <row r="252" spans="1:32" ht="15" customHeight="1" x14ac:dyDescent="0.25">
      <c r="A252" t="str">
        <f>IFERROR(_xlfn.XLOOKUP(--F252,[1]imagenes!$D:$D,[1]imagenes!$A:$A),"")</f>
        <v/>
      </c>
      <c r="B252" s="2" t="s">
        <v>32</v>
      </c>
      <c r="C252" s="2" t="s">
        <v>685</v>
      </c>
      <c r="D252" s="2" t="s">
        <v>693</v>
      </c>
      <c r="E252" s="2" t="s">
        <v>73</v>
      </c>
      <c r="F252" s="2" t="s">
        <v>764</v>
      </c>
      <c r="G252" s="2" t="s">
        <v>765</v>
      </c>
      <c r="H252" s="2" t="s">
        <v>763</v>
      </c>
      <c r="I252" s="3">
        <v>24</v>
      </c>
      <c r="J252" s="4">
        <v>75</v>
      </c>
      <c r="K252" s="5">
        <v>37</v>
      </c>
      <c r="L252" s="5">
        <v>28</v>
      </c>
      <c r="M252" s="5">
        <v>34</v>
      </c>
      <c r="N252" s="5">
        <v>38</v>
      </c>
      <c r="O252" s="5">
        <v>50</v>
      </c>
      <c r="Q252" s="5">
        <v>45</v>
      </c>
      <c r="S252" s="5">
        <v>29</v>
      </c>
      <c r="AF252" s="7">
        <f t="shared" si="3"/>
        <v>261</v>
      </c>
    </row>
    <row r="253" spans="1:32" ht="15" customHeight="1" x14ac:dyDescent="0.25">
      <c r="A253" t="str">
        <f>IFERROR(_xlfn.XLOOKUP(--F253,[1]imagenes!$D:$D,[1]imagenes!$A:$A),"")</f>
        <v/>
      </c>
      <c r="B253" s="2" t="s">
        <v>32</v>
      </c>
      <c r="C253" s="2" t="s">
        <v>685</v>
      </c>
      <c r="D253" s="2" t="s">
        <v>686</v>
      </c>
      <c r="E253" s="2" t="s">
        <v>73</v>
      </c>
      <c r="F253" s="2" t="s">
        <v>766</v>
      </c>
      <c r="G253" s="2" t="s">
        <v>767</v>
      </c>
      <c r="H253" s="2" t="s">
        <v>768</v>
      </c>
      <c r="I253" s="3">
        <v>24</v>
      </c>
      <c r="J253" s="4">
        <v>75</v>
      </c>
      <c r="U253" s="5">
        <v>47</v>
      </c>
      <c r="W253" s="5">
        <v>47</v>
      </c>
      <c r="Y253" s="5">
        <v>39</v>
      </c>
      <c r="AA253" s="5">
        <v>41</v>
      </c>
      <c r="AC253" s="5">
        <v>41</v>
      </c>
      <c r="AD253" s="5">
        <v>45</v>
      </c>
      <c r="AF253" s="7">
        <f t="shared" si="3"/>
        <v>260</v>
      </c>
    </row>
    <row r="254" spans="1:32" ht="15" customHeight="1" x14ac:dyDescent="0.25">
      <c r="A254" t="str">
        <f>IFERROR(_xlfn.XLOOKUP(--F254,[1]imagenes!$D:$D,[1]imagenes!$A:$A),"")</f>
        <v/>
      </c>
      <c r="B254" s="2" t="s">
        <v>32</v>
      </c>
      <c r="C254" s="2" t="s">
        <v>685</v>
      </c>
      <c r="D254" s="2" t="s">
        <v>693</v>
      </c>
      <c r="E254" s="2" t="s">
        <v>73</v>
      </c>
      <c r="F254" s="2" t="s">
        <v>769</v>
      </c>
      <c r="G254" s="2" t="s">
        <v>770</v>
      </c>
      <c r="H254" s="2" t="s">
        <v>768</v>
      </c>
      <c r="I254" s="3">
        <v>24</v>
      </c>
      <c r="J254" s="4">
        <v>75</v>
      </c>
      <c r="K254" s="5">
        <v>50</v>
      </c>
      <c r="L254" s="5">
        <v>46</v>
      </c>
      <c r="M254" s="5">
        <v>46</v>
      </c>
      <c r="N254" s="5">
        <v>47</v>
      </c>
      <c r="O254" s="5">
        <v>43</v>
      </c>
      <c r="Q254" s="5">
        <v>37</v>
      </c>
      <c r="S254" s="5">
        <v>29</v>
      </c>
      <c r="AF254" s="7">
        <f t="shared" si="3"/>
        <v>298</v>
      </c>
    </row>
    <row r="255" spans="1:32" ht="15" customHeight="1" x14ac:dyDescent="0.25">
      <c r="A255" t="str">
        <f>IFERROR(_xlfn.XLOOKUP(--F255,[1]imagenes!$D:$D,[1]imagenes!$A:$A),"")</f>
        <v/>
      </c>
      <c r="B255" s="2" t="s">
        <v>32</v>
      </c>
      <c r="C255" s="2" t="s">
        <v>685</v>
      </c>
      <c r="D255" s="2" t="s">
        <v>686</v>
      </c>
      <c r="E255" s="2" t="s">
        <v>73</v>
      </c>
      <c r="F255" s="2" t="s">
        <v>771</v>
      </c>
      <c r="G255" s="2" t="s">
        <v>772</v>
      </c>
      <c r="H255" s="2" t="s">
        <v>745</v>
      </c>
      <c r="I255" s="3">
        <v>24</v>
      </c>
      <c r="J255" s="4">
        <v>75</v>
      </c>
      <c r="U255" s="5">
        <v>47</v>
      </c>
      <c r="W255" s="5">
        <v>45</v>
      </c>
      <c r="Y255" s="5">
        <v>41</v>
      </c>
      <c r="AA255" s="5">
        <v>50</v>
      </c>
      <c r="AC255" s="5">
        <v>48</v>
      </c>
      <c r="AD255" s="5">
        <v>50</v>
      </c>
      <c r="AF255" s="7">
        <f t="shared" si="3"/>
        <v>281</v>
      </c>
    </row>
    <row r="256" spans="1:32" ht="15" customHeight="1" x14ac:dyDescent="0.25">
      <c r="A256" t="str">
        <f>IFERROR(_xlfn.XLOOKUP(--F256,[1]imagenes!$D:$D,[1]imagenes!$A:$A),"")</f>
        <v/>
      </c>
      <c r="B256" s="2" t="s">
        <v>32</v>
      </c>
      <c r="C256" s="2" t="s">
        <v>685</v>
      </c>
      <c r="D256" s="2" t="s">
        <v>693</v>
      </c>
      <c r="E256" s="2" t="s">
        <v>73</v>
      </c>
      <c r="F256" s="2" t="s">
        <v>773</v>
      </c>
      <c r="G256" s="2" t="s">
        <v>774</v>
      </c>
      <c r="H256" s="2" t="s">
        <v>745</v>
      </c>
      <c r="I256" s="3">
        <v>24</v>
      </c>
      <c r="J256" s="4">
        <v>75</v>
      </c>
      <c r="K256" s="5">
        <v>33</v>
      </c>
      <c r="L256" s="5">
        <v>37</v>
      </c>
      <c r="M256" s="5">
        <v>38</v>
      </c>
      <c r="N256" s="5">
        <v>50</v>
      </c>
      <c r="O256" s="5">
        <v>44</v>
      </c>
      <c r="Q256" s="5">
        <v>36</v>
      </c>
      <c r="S256" s="5">
        <v>33</v>
      </c>
      <c r="AF256" s="7">
        <f t="shared" si="3"/>
        <v>271</v>
      </c>
    </row>
    <row r="257" spans="1:32" ht="15" customHeight="1" x14ac:dyDescent="0.25">
      <c r="A257" t="str">
        <f>IFERROR(_xlfn.XLOOKUP(--F257,[1]imagenes!$D:$D,[1]imagenes!$A:$A),"")</f>
        <v/>
      </c>
      <c r="B257" s="2" t="s">
        <v>32</v>
      </c>
      <c r="C257" s="2" t="s">
        <v>685</v>
      </c>
      <c r="D257" s="2" t="s">
        <v>686</v>
      </c>
      <c r="E257" s="2" t="s">
        <v>73</v>
      </c>
      <c r="F257" s="2" t="s">
        <v>775</v>
      </c>
      <c r="G257" s="2" t="s">
        <v>776</v>
      </c>
      <c r="H257" s="2" t="s">
        <v>777</v>
      </c>
      <c r="I257" s="3">
        <v>24</v>
      </c>
      <c r="J257" s="4">
        <v>75</v>
      </c>
      <c r="U257" s="5">
        <v>39</v>
      </c>
      <c r="W257" s="5">
        <v>40</v>
      </c>
      <c r="Y257" s="5">
        <v>38</v>
      </c>
      <c r="AA257" s="5">
        <v>43</v>
      </c>
      <c r="AC257" s="5">
        <v>39</v>
      </c>
      <c r="AD257" s="5">
        <v>47</v>
      </c>
      <c r="AF257" s="7">
        <f t="shared" si="3"/>
        <v>246</v>
      </c>
    </row>
    <row r="258" spans="1:32" ht="15" customHeight="1" x14ac:dyDescent="0.25">
      <c r="A258" t="str">
        <f>IFERROR(_xlfn.XLOOKUP(--F258,[1]imagenes!$D:$D,[1]imagenes!$A:$A),"")</f>
        <v/>
      </c>
      <c r="B258" s="2" t="s">
        <v>32</v>
      </c>
      <c r="C258" s="2" t="s">
        <v>685</v>
      </c>
      <c r="D258" s="2" t="s">
        <v>693</v>
      </c>
      <c r="E258" s="2" t="s">
        <v>73</v>
      </c>
      <c r="F258" s="2" t="s">
        <v>778</v>
      </c>
      <c r="G258" s="2" t="s">
        <v>779</v>
      </c>
      <c r="H258" s="2" t="s">
        <v>777</v>
      </c>
      <c r="I258" s="3">
        <v>24</v>
      </c>
      <c r="J258" s="4">
        <v>75</v>
      </c>
      <c r="K258" s="5">
        <v>28</v>
      </c>
      <c r="L258" s="5">
        <v>28</v>
      </c>
      <c r="M258" s="5">
        <v>30</v>
      </c>
      <c r="N258" s="5">
        <v>44</v>
      </c>
      <c r="O258" s="5">
        <v>39</v>
      </c>
      <c r="Q258" s="5">
        <v>29</v>
      </c>
      <c r="S258" s="5">
        <v>27</v>
      </c>
      <c r="AF258" s="7">
        <f t="shared" ref="AF258:AF321" si="4">SUM(K258:AD258)</f>
        <v>225</v>
      </c>
    </row>
    <row r="259" spans="1:32" ht="15" customHeight="1" x14ac:dyDescent="0.25">
      <c r="A259" t="str">
        <f>IFERROR(_xlfn.XLOOKUP(--F259,[1]imagenes!$D:$D,[1]imagenes!$A:$A),"")</f>
        <v/>
      </c>
      <c r="B259" s="2" t="s">
        <v>32</v>
      </c>
      <c r="C259" s="2" t="s">
        <v>685</v>
      </c>
      <c r="D259" s="2" t="s">
        <v>686</v>
      </c>
      <c r="E259" s="2" t="s">
        <v>73</v>
      </c>
      <c r="F259" s="2" t="s">
        <v>780</v>
      </c>
      <c r="G259" s="2" t="s">
        <v>781</v>
      </c>
      <c r="H259" s="2" t="s">
        <v>782</v>
      </c>
      <c r="I259" s="3">
        <v>24</v>
      </c>
      <c r="J259" s="4">
        <v>75</v>
      </c>
      <c r="U259" s="5">
        <v>50</v>
      </c>
      <c r="W259" s="5">
        <v>50</v>
      </c>
      <c r="Y259" s="5">
        <v>50</v>
      </c>
      <c r="AA259" s="5">
        <v>50</v>
      </c>
      <c r="AC259" s="5">
        <v>50</v>
      </c>
      <c r="AD259" s="5">
        <v>50</v>
      </c>
      <c r="AF259" s="7">
        <f t="shared" si="4"/>
        <v>300</v>
      </c>
    </row>
    <row r="260" spans="1:32" ht="15" customHeight="1" x14ac:dyDescent="0.25">
      <c r="A260" t="str">
        <f>IFERROR(_xlfn.XLOOKUP(--F260,[1]imagenes!$D:$D,[1]imagenes!$A:$A),"")</f>
        <v/>
      </c>
      <c r="B260" s="2" t="s">
        <v>32</v>
      </c>
      <c r="C260" s="2" t="s">
        <v>685</v>
      </c>
      <c r="D260" s="2" t="s">
        <v>693</v>
      </c>
      <c r="E260" s="2" t="s">
        <v>73</v>
      </c>
      <c r="F260" s="2" t="s">
        <v>783</v>
      </c>
      <c r="G260" s="2" t="s">
        <v>784</v>
      </c>
      <c r="H260" s="2" t="s">
        <v>782</v>
      </c>
      <c r="I260" s="3">
        <v>24</v>
      </c>
      <c r="J260" s="4">
        <v>75</v>
      </c>
      <c r="K260" s="5">
        <v>50</v>
      </c>
      <c r="L260" s="5">
        <v>50</v>
      </c>
      <c r="M260" s="5">
        <v>50</v>
      </c>
      <c r="N260" s="5">
        <v>50</v>
      </c>
      <c r="O260" s="5">
        <v>50</v>
      </c>
      <c r="Q260" s="5">
        <v>50</v>
      </c>
      <c r="S260" s="5">
        <v>48</v>
      </c>
      <c r="AF260" s="7">
        <f t="shared" si="4"/>
        <v>348</v>
      </c>
    </row>
    <row r="261" spans="1:32" ht="15" customHeight="1" x14ac:dyDescent="0.25">
      <c r="A261" t="str">
        <f>IFERROR(_xlfn.XLOOKUP(--F261,[1]imagenes!$D:$D,[1]imagenes!$A:$A),"")</f>
        <v/>
      </c>
      <c r="B261" s="2" t="s">
        <v>32</v>
      </c>
      <c r="C261" s="2" t="s">
        <v>685</v>
      </c>
      <c r="D261" s="2" t="s">
        <v>686</v>
      </c>
      <c r="E261" s="2" t="s">
        <v>73</v>
      </c>
      <c r="F261" s="2" t="s">
        <v>785</v>
      </c>
      <c r="G261" s="2" t="s">
        <v>786</v>
      </c>
      <c r="H261" s="2" t="s">
        <v>787</v>
      </c>
      <c r="I261" s="3">
        <v>24</v>
      </c>
      <c r="J261" s="4">
        <v>75</v>
      </c>
      <c r="U261" s="5">
        <v>39</v>
      </c>
      <c r="W261" s="5">
        <v>34</v>
      </c>
      <c r="Y261" s="5">
        <v>37</v>
      </c>
      <c r="AA261" s="5">
        <v>44</v>
      </c>
      <c r="AC261" s="5">
        <v>39</v>
      </c>
      <c r="AD261" s="5">
        <v>47</v>
      </c>
      <c r="AF261" s="7">
        <f t="shared" si="4"/>
        <v>240</v>
      </c>
    </row>
    <row r="262" spans="1:32" ht="15" customHeight="1" x14ac:dyDescent="0.25">
      <c r="A262" t="str">
        <f>IFERROR(_xlfn.XLOOKUP(--F262,[1]imagenes!$D:$D,[1]imagenes!$A:$A),"")</f>
        <v/>
      </c>
      <c r="B262" s="2" t="s">
        <v>32</v>
      </c>
      <c r="C262" s="2" t="s">
        <v>685</v>
      </c>
      <c r="D262" s="2" t="s">
        <v>693</v>
      </c>
      <c r="E262" s="2" t="s">
        <v>73</v>
      </c>
      <c r="F262" s="2" t="s">
        <v>788</v>
      </c>
      <c r="G262" s="2" t="s">
        <v>789</v>
      </c>
      <c r="H262" s="2" t="s">
        <v>787</v>
      </c>
      <c r="I262" s="3">
        <v>24</v>
      </c>
      <c r="J262" s="4">
        <v>75</v>
      </c>
      <c r="K262" s="5">
        <v>28</v>
      </c>
      <c r="L262" s="5">
        <v>28</v>
      </c>
      <c r="M262" s="5">
        <v>29</v>
      </c>
      <c r="N262" s="5">
        <v>44</v>
      </c>
      <c r="O262" s="5">
        <v>38</v>
      </c>
      <c r="Q262" s="5">
        <v>31</v>
      </c>
      <c r="S262" s="5">
        <v>30</v>
      </c>
      <c r="AF262" s="7">
        <f t="shared" si="4"/>
        <v>228</v>
      </c>
    </row>
    <row r="263" spans="1:32" ht="15" customHeight="1" x14ac:dyDescent="0.25">
      <c r="A263" t="str">
        <f>IFERROR(_xlfn.XLOOKUP(--F263,[1]imagenes!$D:$D,[1]imagenes!$A:$A),"")</f>
        <v/>
      </c>
      <c r="B263" s="2" t="s">
        <v>32</v>
      </c>
      <c r="C263" s="2" t="s">
        <v>685</v>
      </c>
      <c r="D263" s="2" t="s">
        <v>686</v>
      </c>
      <c r="E263" s="2" t="s">
        <v>790</v>
      </c>
      <c r="F263" s="2" t="s">
        <v>791</v>
      </c>
      <c r="G263" s="2" t="s">
        <v>792</v>
      </c>
      <c r="H263" s="2" t="s">
        <v>793</v>
      </c>
      <c r="I263" s="3">
        <v>21.75</v>
      </c>
      <c r="J263" s="4">
        <v>70</v>
      </c>
      <c r="U263" s="5">
        <v>32</v>
      </c>
      <c r="W263" s="5">
        <v>31</v>
      </c>
      <c r="Y263" s="5">
        <v>29</v>
      </c>
      <c r="AA263" s="5">
        <v>36</v>
      </c>
      <c r="AC263" s="5">
        <v>46</v>
      </c>
      <c r="AD263" s="5">
        <v>41</v>
      </c>
      <c r="AF263" s="7">
        <f t="shared" si="4"/>
        <v>215</v>
      </c>
    </row>
    <row r="264" spans="1:32" ht="15" customHeight="1" x14ac:dyDescent="0.25">
      <c r="A264" t="str">
        <f>IFERROR(_xlfn.XLOOKUP(--F264,[1]imagenes!$D:$D,[1]imagenes!$A:$A),"")</f>
        <v/>
      </c>
      <c r="B264" s="2" t="s">
        <v>32</v>
      </c>
      <c r="C264" s="2" t="s">
        <v>685</v>
      </c>
      <c r="D264" s="2" t="s">
        <v>686</v>
      </c>
      <c r="E264" s="2" t="s">
        <v>790</v>
      </c>
      <c r="F264" s="2" t="s">
        <v>794</v>
      </c>
      <c r="G264" s="2" t="s">
        <v>795</v>
      </c>
      <c r="H264" s="2" t="s">
        <v>796</v>
      </c>
      <c r="I264" s="3">
        <v>21.75</v>
      </c>
      <c r="J264" s="4">
        <v>70</v>
      </c>
      <c r="U264" s="5">
        <v>47</v>
      </c>
      <c r="W264" s="5">
        <v>50</v>
      </c>
      <c r="Y264" s="5">
        <v>50</v>
      </c>
      <c r="AA264" s="5">
        <v>50</v>
      </c>
      <c r="AC264" s="5">
        <v>50</v>
      </c>
      <c r="AD264" s="5">
        <v>50</v>
      </c>
      <c r="AF264" s="7">
        <f t="shared" si="4"/>
        <v>297</v>
      </c>
    </row>
    <row r="265" spans="1:32" ht="15" customHeight="1" x14ac:dyDescent="0.25">
      <c r="A265" t="str">
        <f>IFERROR(_xlfn.XLOOKUP(--F265,[1]imagenes!$D:$D,[1]imagenes!$A:$A),"")</f>
        <v/>
      </c>
      <c r="B265" s="2" t="s">
        <v>32</v>
      </c>
      <c r="C265" s="2" t="s">
        <v>685</v>
      </c>
      <c r="D265" s="2" t="s">
        <v>706</v>
      </c>
      <c r="E265" s="2" t="s">
        <v>790</v>
      </c>
      <c r="F265" s="2" t="s">
        <v>797</v>
      </c>
      <c r="G265" s="2" t="s">
        <v>798</v>
      </c>
      <c r="H265" s="2" t="s">
        <v>796</v>
      </c>
      <c r="I265" s="3">
        <v>18.75</v>
      </c>
      <c r="J265" s="4">
        <v>65</v>
      </c>
      <c r="N265" s="5">
        <v>50</v>
      </c>
      <c r="O265" s="5">
        <v>50</v>
      </c>
      <c r="Q265" s="5">
        <v>50</v>
      </c>
      <c r="S265" s="5">
        <v>50</v>
      </c>
      <c r="AF265" s="7">
        <f t="shared" si="4"/>
        <v>200</v>
      </c>
    </row>
    <row r="266" spans="1:32" ht="15" customHeight="1" x14ac:dyDescent="0.25">
      <c r="A266" t="str">
        <f>IFERROR(_xlfn.XLOOKUP(--F266,[1]imagenes!$D:$D,[1]imagenes!$A:$A),"")</f>
        <v/>
      </c>
      <c r="B266" s="2" t="s">
        <v>32</v>
      </c>
      <c r="C266" s="2" t="s">
        <v>685</v>
      </c>
      <c r="D266" s="2" t="s">
        <v>686</v>
      </c>
      <c r="E266" s="2" t="s">
        <v>100</v>
      </c>
      <c r="F266" s="2" t="s">
        <v>799</v>
      </c>
      <c r="G266" s="2" t="s">
        <v>800</v>
      </c>
      <c r="H266" s="2" t="s">
        <v>116</v>
      </c>
      <c r="I266" s="3">
        <v>19</v>
      </c>
      <c r="J266" s="4">
        <v>67</v>
      </c>
      <c r="U266" s="5">
        <v>50</v>
      </c>
      <c r="W266" s="5">
        <v>50</v>
      </c>
      <c r="Y266" s="5">
        <v>50</v>
      </c>
      <c r="AA266" s="5">
        <v>50</v>
      </c>
      <c r="AC266" s="5">
        <v>50</v>
      </c>
      <c r="AD266" s="5">
        <v>50</v>
      </c>
      <c r="AF266" s="7">
        <f t="shared" si="4"/>
        <v>300</v>
      </c>
    </row>
    <row r="267" spans="1:32" ht="15" customHeight="1" x14ac:dyDescent="0.25">
      <c r="A267" t="str">
        <f>IFERROR(_xlfn.XLOOKUP(--F267,[1]imagenes!$D:$D,[1]imagenes!$A:$A),"")</f>
        <v/>
      </c>
      <c r="B267" s="2" t="s">
        <v>32</v>
      </c>
      <c r="C267" s="2" t="s">
        <v>685</v>
      </c>
      <c r="D267" s="2" t="s">
        <v>693</v>
      </c>
      <c r="E267" s="2" t="s">
        <v>100</v>
      </c>
      <c r="F267" s="2" t="s">
        <v>801</v>
      </c>
      <c r="G267" s="2" t="s">
        <v>802</v>
      </c>
      <c r="H267" s="2" t="s">
        <v>116</v>
      </c>
      <c r="I267" s="3">
        <v>19</v>
      </c>
      <c r="J267" s="4">
        <v>67</v>
      </c>
      <c r="K267" s="5">
        <v>50</v>
      </c>
      <c r="L267" s="5">
        <v>50</v>
      </c>
      <c r="M267" s="5">
        <v>50</v>
      </c>
      <c r="N267" s="5">
        <v>50</v>
      </c>
      <c r="O267" s="5">
        <v>50</v>
      </c>
      <c r="Q267" s="5">
        <v>50</v>
      </c>
      <c r="S267" s="5">
        <v>50</v>
      </c>
      <c r="AF267" s="7">
        <f t="shared" si="4"/>
        <v>350</v>
      </c>
    </row>
    <row r="268" spans="1:32" ht="15" customHeight="1" x14ac:dyDescent="0.25">
      <c r="A268" t="str">
        <f>IFERROR(_xlfn.XLOOKUP(--F268,[1]imagenes!$D:$D,[1]imagenes!$A:$A),"")</f>
        <v/>
      </c>
      <c r="B268" s="2" t="s">
        <v>32</v>
      </c>
      <c r="C268" s="2" t="s">
        <v>685</v>
      </c>
      <c r="D268" s="2" t="s">
        <v>686</v>
      </c>
      <c r="E268" s="2" t="s">
        <v>803</v>
      </c>
      <c r="F268" s="2" t="s">
        <v>804</v>
      </c>
      <c r="G268" s="2" t="s">
        <v>805</v>
      </c>
      <c r="H268" s="2" t="s">
        <v>806</v>
      </c>
      <c r="I268" s="3">
        <v>19</v>
      </c>
      <c r="J268" s="4">
        <v>62</v>
      </c>
      <c r="U268" s="5">
        <v>39</v>
      </c>
      <c r="W268" s="5">
        <v>48</v>
      </c>
      <c r="Y268" s="5">
        <v>50</v>
      </c>
      <c r="AA268" s="5">
        <v>50</v>
      </c>
      <c r="AC268" s="5">
        <v>50</v>
      </c>
      <c r="AD268" s="5">
        <v>50</v>
      </c>
      <c r="AF268" s="7">
        <f t="shared" si="4"/>
        <v>287</v>
      </c>
    </row>
    <row r="269" spans="1:32" ht="15" customHeight="1" x14ac:dyDescent="0.25">
      <c r="A269" t="str">
        <f>IFERROR(_xlfn.XLOOKUP(--F269,[1]imagenes!$D:$D,[1]imagenes!$A:$A),"")</f>
        <v/>
      </c>
      <c r="B269" s="2" t="s">
        <v>32</v>
      </c>
      <c r="C269" s="2" t="s">
        <v>685</v>
      </c>
      <c r="D269" s="2" t="s">
        <v>686</v>
      </c>
      <c r="E269" s="2" t="s">
        <v>803</v>
      </c>
      <c r="F269" s="2" t="s">
        <v>807</v>
      </c>
      <c r="G269" s="2" t="s">
        <v>808</v>
      </c>
      <c r="H269" s="2" t="s">
        <v>809</v>
      </c>
      <c r="I269" s="3">
        <v>19</v>
      </c>
      <c r="J269" s="4">
        <v>62</v>
      </c>
      <c r="U269" s="5">
        <v>50</v>
      </c>
      <c r="W269" s="5">
        <v>50</v>
      </c>
      <c r="Y269" s="5">
        <v>50</v>
      </c>
      <c r="AA269" s="5">
        <v>50</v>
      </c>
      <c r="AC269" s="5">
        <v>50</v>
      </c>
      <c r="AD269" s="5">
        <v>50</v>
      </c>
      <c r="AF269" s="7">
        <f t="shared" si="4"/>
        <v>300</v>
      </c>
    </row>
    <row r="270" spans="1:32" ht="15" customHeight="1" x14ac:dyDescent="0.25">
      <c r="A270" t="str">
        <f>IFERROR(_xlfn.XLOOKUP(--F270,[1]imagenes!$D:$D,[1]imagenes!$A:$A),"")</f>
        <v/>
      </c>
      <c r="B270" s="2" t="s">
        <v>32</v>
      </c>
      <c r="C270" s="2" t="s">
        <v>685</v>
      </c>
      <c r="D270" s="2" t="s">
        <v>693</v>
      </c>
      <c r="E270" s="2" t="s">
        <v>367</v>
      </c>
      <c r="F270" s="2" t="s">
        <v>810</v>
      </c>
      <c r="G270" s="2" t="s">
        <v>811</v>
      </c>
      <c r="H270" s="2" t="s">
        <v>812</v>
      </c>
      <c r="I270" s="3">
        <v>19.5</v>
      </c>
      <c r="J270" s="4">
        <v>60</v>
      </c>
      <c r="K270" s="5">
        <v>29</v>
      </c>
      <c r="L270" s="5">
        <v>50</v>
      </c>
      <c r="M270" s="5">
        <v>50</v>
      </c>
      <c r="N270" s="5">
        <v>50</v>
      </c>
      <c r="O270" s="5">
        <v>50</v>
      </c>
      <c r="Q270" s="5">
        <v>50</v>
      </c>
      <c r="S270" s="5">
        <v>50</v>
      </c>
      <c r="AF270" s="7">
        <f t="shared" si="4"/>
        <v>329</v>
      </c>
    </row>
    <row r="271" spans="1:32" ht="15" customHeight="1" x14ac:dyDescent="0.25">
      <c r="A271" t="str">
        <f>IFERROR(_xlfn.XLOOKUP(--F271,[1]imagenes!$D:$D,[1]imagenes!$A:$A),"")</f>
        <v/>
      </c>
      <c r="B271" s="2" t="s">
        <v>32</v>
      </c>
      <c r="C271" s="2" t="s">
        <v>685</v>
      </c>
      <c r="D271" s="2" t="s">
        <v>693</v>
      </c>
      <c r="E271" s="2" t="s">
        <v>367</v>
      </c>
      <c r="F271" s="2" t="s">
        <v>813</v>
      </c>
      <c r="G271" s="2" t="s">
        <v>814</v>
      </c>
      <c r="H271" s="2" t="s">
        <v>815</v>
      </c>
      <c r="I271" s="3">
        <v>19.5</v>
      </c>
      <c r="J271" s="4">
        <v>60</v>
      </c>
      <c r="L271" s="5">
        <v>41</v>
      </c>
      <c r="M271" s="5">
        <v>50</v>
      </c>
      <c r="N271" s="5">
        <v>50</v>
      </c>
      <c r="O271" s="5">
        <v>50</v>
      </c>
      <c r="Q271" s="5">
        <v>50</v>
      </c>
      <c r="S271" s="5">
        <v>50</v>
      </c>
      <c r="AF271" s="7">
        <f t="shared" si="4"/>
        <v>291</v>
      </c>
    </row>
    <row r="272" spans="1:32" ht="15" customHeight="1" x14ac:dyDescent="0.25">
      <c r="A272" t="str">
        <f>IFERROR(_xlfn.XLOOKUP(--F272,[1]imagenes!$D:$D,[1]imagenes!$A:$A),"")</f>
        <v/>
      </c>
      <c r="B272" s="2" t="s">
        <v>32</v>
      </c>
      <c r="C272" s="2" t="s">
        <v>685</v>
      </c>
      <c r="D272" s="2" t="s">
        <v>693</v>
      </c>
      <c r="E272" s="2" t="s">
        <v>367</v>
      </c>
      <c r="F272" s="2" t="s">
        <v>816</v>
      </c>
      <c r="G272" s="2" t="s">
        <v>817</v>
      </c>
      <c r="H272" s="2" t="s">
        <v>818</v>
      </c>
      <c r="I272" s="3">
        <v>19.5</v>
      </c>
      <c r="J272" s="4">
        <v>60</v>
      </c>
      <c r="M272" s="5">
        <v>50</v>
      </c>
      <c r="N272" s="5">
        <v>50</v>
      </c>
      <c r="O272" s="5">
        <v>50</v>
      </c>
      <c r="Q272" s="5">
        <v>50</v>
      </c>
      <c r="S272" s="5">
        <v>50</v>
      </c>
      <c r="AF272" s="7">
        <f t="shared" si="4"/>
        <v>250</v>
      </c>
    </row>
    <row r="273" spans="1:32" ht="15" customHeight="1" x14ac:dyDescent="0.25">
      <c r="A273" t="str">
        <f>IFERROR(_xlfn.XLOOKUP(--F273,[1]imagenes!$D:$D,[1]imagenes!$A:$A),"")</f>
        <v/>
      </c>
      <c r="B273" s="2" t="s">
        <v>32</v>
      </c>
      <c r="C273" s="2" t="s">
        <v>685</v>
      </c>
      <c r="D273" s="2" t="s">
        <v>693</v>
      </c>
      <c r="E273" s="2" t="s">
        <v>819</v>
      </c>
      <c r="F273" s="2" t="s">
        <v>820</v>
      </c>
      <c r="G273" s="2" t="s">
        <v>821</v>
      </c>
      <c r="H273" s="2" t="s">
        <v>822</v>
      </c>
      <c r="I273" s="3">
        <v>19.5</v>
      </c>
      <c r="J273" s="4">
        <v>60</v>
      </c>
      <c r="K273" s="5">
        <v>31</v>
      </c>
      <c r="L273" s="5">
        <v>32</v>
      </c>
      <c r="M273" s="5">
        <v>23</v>
      </c>
      <c r="O273" s="5">
        <v>26</v>
      </c>
      <c r="Q273" s="5">
        <v>50</v>
      </c>
      <c r="S273" s="5">
        <v>46</v>
      </c>
      <c r="AF273" s="7">
        <f t="shared" si="4"/>
        <v>208</v>
      </c>
    </row>
    <row r="274" spans="1:32" ht="15" customHeight="1" x14ac:dyDescent="0.25">
      <c r="A274" t="str">
        <f>IFERROR(_xlfn.XLOOKUP(--F274,[1]imagenes!$D:$D,[1]imagenes!$A:$A),"")</f>
        <v/>
      </c>
      <c r="B274" s="2" t="s">
        <v>32</v>
      </c>
      <c r="C274" s="2" t="s">
        <v>685</v>
      </c>
      <c r="D274" s="2" t="s">
        <v>693</v>
      </c>
      <c r="E274" s="2" t="s">
        <v>819</v>
      </c>
      <c r="F274" s="2" t="s">
        <v>823</v>
      </c>
      <c r="G274" s="2" t="s">
        <v>824</v>
      </c>
      <c r="H274" s="2" t="s">
        <v>825</v>
      </c>
      <c r="I274" s="3">
        <v>19.5</v>
      </c>
      <c r="J274" s="4">
        <v>6</v>
      </c>
      <c r="L274" s="5">
        <v>31</v>
      </c>
      <c r="M274" s="5">
        <v>21</v>
      </c>
      <c r="N274" s="5">
        <v>50</v>
      </c>
      <c r="O274" s="5">
        <v>50</v>
      </c>
      <c r="Q274" s="5">
        <v>50</v>
      </c>
      <c r="S274" s="5">
        <v>40</v>
      </c>
      <c r="AF274" s="7">
        <f t="shared" si="4"/>
        <v>242</v>
      </c>
    </row>
    <row r="275" spans="1:32" ht="15" customHeight="1" x14ac:dyDescent="0.25">
      <c r="A275" t="str">
        <f>IFERROR(_xlfn.XLOOKUP(--F275,[1]imagenes!$D:$D,[1]imagenes!$A:$A),"")</f>
        <v/>
      </c>
      <c r="B275" s="2" t="s">
        <v>32</v>
      </c>
      <c r="C275" s="2" t="s">
        <v>685</v>
      </c>
      <c r="D275" s="2" t="s">
        <v>693</v>
      </c>
      <c r="E275" s="2" t="s">
        <v>819</v>
      </c>
      <c r="F275" s="2" t="s">
        <v>826</v>
      </c>
      <c r="G275" s="2" t="s">
        <v>827</v>
      </c>
      <c r="H275" s="2" t="s">
        <v>828</v>
      </c>
      <c r="I275" s="3">
        <v>19.5</v>
      </c>
      <c r="J275" s="4">
        <v>60</v>
      </c>
      <c r="M275" s="5">
        <v>20</v>
      </c>
      <c r="N275" s="5">
        <v>50</v>
      </c>
      <c r="O275" s="5">
        <v>50</v>
      </c>
      <c r="Q275" s="5">
        <v>50</v>
      </c>
      <c r="S275" s="5">
        <v>45</v>
      </c>
      <c r="AF275" s="7">
        <f t="shared" si="4"/>
        <v>215</v>
      </c>
    </row>
    <row r="276" spans="1:32" ht="15" customHeight="1" x14ac:dyDescent="0.25">
      <c r="A276" t="str">
        <f>IFERROR(_xlfn.XLOOKUP(--F276,[1]imagenes!$D:$D,[1]imagenes!$A:$A),"")</f>
        <v/>
      </c>
      <c r="B276" s="2" t="s">
        <v>32</v>
      </c>
      <c r="C276" s="2" t="s">
        <v>685</v>
      </c>
      <c r="D276" s="2" t="s">
        <v>686</v>
      </c>
      <c r="E276" s="2" t="s">
        <v>829</v>
      </c>
      <c r="F276" s="2" t="s">
        <v>830</v>
      </c>
      <c r="G276" s="2" t="s">
        <v>831</v>
      </c>
      <c r="H276" s="2" t="s">
        <v>360</v>
      </c>
      <c r="I276" s="3">
        <v>24</v>
      </c>
      <c r="J276" s="4">
        <v>80</v>
      </c>
      <c r="U276" s="5">
        <v>50</v>
      </c>
      <c r="W276" s="5">
        <v>46</v>
      </c>
      <c r="Y276" s="5">
        <v>50</v>
      </c>
      <c r="AA276" s="5">
        <v>43</v>
      </c>
      <c r="AC276" s="5">
        <v>37</v>
      </c>
      <c r="AD276" s="5">
        <v>20</v>
      </c>
      <c r="AF276" s="7">
        <f t="shared" si="4"/>
        <v>246</v>
      </c>
    </row>
    <row r="277" spans="1:32" ht="15" customHeight="1" x14ac:dyDescent="0.25">
      <c r="A277" t="str">
        <f>IFERROR(_xlfn.XLOOKUP(--F277,[1]imagenes!$D:$D,[1]imagenes!$A:$A),"")</f>
        <v/>
      </c>
      <c r="B277" s="2" t="s">
        <v>32</v>
      </c>
      <c r="C277" s="2" t="s">
        <v>685</v>
      </c>
      <c r="D277" s="2" t="s">
        <v>686</v>
      </c>
      <c r="E277" s="2" t="s">
        <v>829</v>
      </c>
      <c r="F277" s="2" t="s">
        <v>832</v>
      </c>
      <c r="G277" s="2" t="s">
        <v>833</v>
      </c>
      <c r="H277" s="2" t="s">
        <v>834</v>
      </c>
      <c r="I277" s="3">
        <v>24</v>
      </c>
      <c r="J277" s="4">
        <v>80</v>
      </c>
      <c r="U277" s="5">
        <v>50</v>
      </c>
      <c r="W277" s="5">
        <v>50</v>
      </c>
      <c r="Y277" s="5">
        <v>50</v>
      </c>
      <c r="AA277" s="5">
        <v>50</v>
      </c>
      <c r="AC277" s="5">
        <v>50</v>
      </c>
      <c r="AD277" s="5">
        <v>50</v>
      </c>
      <c r="AF277" s="7">
        <f t="shared" si="4"/>
        <v>300</v>
      </c>
    </row>
    <row r="278" spans="1:32" ht="15" customHeight="1" x14ac:dyDescent="0.25">
      <c r="A278" t="str">
        <f>IFERROR(_xlfn.XLOOKUP(--F278,[1]imagenes!$D:$D,[1]imagenes!$A:$A),"")</f>
        <v/>
      </c>
      <c r="B278" s="2" t="s">
        <v>32</v>
      </c>
      <c r="C278" s="2" t="s">
        <v>685</v>
      </c>
      <c r="D278" s="2" t="s">
        <v>693</v>
      </c>
      <c r="E278" s="2" t="s">
        <v>829</v>
      </c>
      <c r="F278" s="2" t="s">
        <v>835</v>
      </c>
      <c r="G278" s="2" t="s">
        <v>836</v>
      </c>
      <c r="H278" s="2" t="s">
        <v>834</v>
      </c>
      <c r="I278" s="3">
        <v>24</v>
      </c>
      <c r="J278" s="4">
        <v>80</v>
      </c>
      <c r="K278" s="5">
        <v>21</v>
      </c>
      <c r="L278" s="5">
        <v>26</v>
      </c>
      <c r="M278" s="5">
        <v>44</v>
      </c>
      <c r="N278" s="5">
        <v>29</v>
      </c>
      <c r="O278" s="5">
        <v>43</v>
      </c>
      <c r="Q278" s="5">
        <v>50</v>
      </c>
      <c r="S278" s="5">
        <v>50</v>
      </c>
      <c r="AF278" s="7">
        <f t="shared" si="4"/>
        <v>263</v>
      </c>
    </row>
    <row r="279" spans="1:32" ht="15" customHeight="1" x14ac:dyDescent="0.25">
      <c r="A279" t="str">
        <f>IFERROR(_xlfn.XLOOKUP(--F279,[1]imagenes!$D:$D,[1]imagenes!$A:$A),"")</f>
        <v/>
      </c>
      <c r="B279" s="2" t="s">
        <v>32</v>
      </c>
      <c r="C279" s="2" t="s">
        <v>685</v>
      </c>
      <c r="D279" s="2" t="s">
        <v>686</v>
      </c>
      <c r="E279" s="2" t="s">
        <v>584</v>
      </c>
      <c r="F279" s="2" t="s">
        <v>837</v>
      </c>
      <c r="G279" s="2" t="s">
        <v>838</v>
      </c>
      <c r="H279" s="2" t="s">
        <v>677</v>
      </c>
      <c r="I279" s="3">
        <v>26</v>
      </c>
      <c r="J279" s="4">
        <v>85</v>
      </c>
      <c r="U279" s="5">
        <v>50</v>
      </c>
      <c r="W279" s="5">
        <v>50</v>
      </c>
      <c r="Y279" s="5">
        <v>50</v>
      </c>
      <c r="AA279" s="5">
        <v>50</v>
      </c>
      <c r="AC279" s="5">
        <v>50</v>
      </c>
      <c r="AD279" s="5">
        <v>50</v>
      </c>
      <c r="AF279" s="7">
        <f t="shared" si="4"/>
        <v>300</v>
      </c>
    </row>
    <row r="280" spans="1:32" ht="15" customHeight="1" x14ac:dyDescent="0.25">
      <c r="A280" t="str">
        <f>IFERROR(_xlfn.XLOOKUP(--F280,[1]imagenes!$D:$D,[1]imagenes!$A:$A),"")</f>
        <v/>
      </c>
      <c r="B280" s="2" t="s">
        <v>32</v>
      </c>
      <c r="C280" s="2" t="s">
        <v>685</v>
      </c>
      <c r="D280" s="2" t="s">
        <v>686</v>
      </c>
      <c r="E280" s="2" t="s">
        <v>584</v>
      </c>
      <c r="F280" s="2" t="s">
        <v>839</v>
      </c>
      <c r="G280" s="2" t="s">
        <v>840</v>
      </c>
      <c r="H280" s="2" t="s">
        <v>841</v>
      </c>
      <c r="I280" s="3">
        <v>26</v>
      </c>
      <c r="J280" s="4">
        <v>85</v>
      </c>
      <c r="U280" s="5">
        <v>50</v>
      </c>
      <c r="W280" s="5">
        <v>50</v>
      </c>
      <c r="Y280" s="5">
        <v>50</v>
      </c>
      <c r="AA280" s="5">
        <v>50</v>
      </c>
      <c r="AC280" s="5">
        <v>50</v>
      </c>
      <c r="AD280" s="5">
        <v>8</v>
      </c>
      <c r="AF280" s="7">
        <f t="shared" si="4"/>
        <v>258</v>
      </c>
    </row>
    <row r="281" spans="1:32" ht="15" customHeight="1" x14ac:dyDescent="0.25">
      <c r="A281" t="str">
        <f>IFERROR(_xlfn.XLOOKUP(--F281,[1]imagenes!$D:$D,[1]imagenes!$A:$A),"")</f>
        <v/>
      </c>
      <c r="B281" s="2" t="s">
        <v>32</v>
      </c>
      <c r="C281" s="2" t="s">
        <v>685</v>
      </c>
      <c r="D281" s="2" t="s">
        <v>686</v>
      </c>
      <c r="E281" s="2" t="s">
        <v>584</v>
      </c>
      <c r="F281" s="2" t="s">
        <v>842</v>
      </c>
      <c r="G281" s="2" t="s">
        <v>843</v>
      </c>
      <c r="H281" s="2" t="s">
        <v>844</v>
      </c>
      <c r="I281" s="3">
        <v>26</v>
      </c>
      <c r="J281" s="4">
        <v>85</v>
      </c>
      <c r="U281" s="5">
        <v>50</v>
      </c>
      <c r="W281" s="5">
        <v>50</v>
      </c>
      <c r="Y281" s="5">
        <v>50</v>
      </c>
      <c r="AA281" s="5">
        <v>50</v>
      </c>
      <c r="AC281" s="5">
        <v>50</v>
      </c>
      <c r="AD281" s="5">
        <v>50</v>
      </c>
      <c r="AF281" s="7">
        <f t="shared" si="4"/>
        <v>300</v>
      </c>
    </row>
    <row r="282" spans="1:32" ht="15" customHeight="1" x14ac:dyDescent="0.25">
      <c r="A282" t="str">
        <f>IFERROR(_xlfn.XLOOKUP(--F282,[1]imagenes!$D:$D,[1]imagenes!$A:$A),"")</f>
        <v/>
      </c>
      <c r="B282" s="2" t="s">
        <v>32</v>
      </c>
      <c r="C282" s="2" t="s">
        <v>685</v>
      </c>
      <c r="D282" s="2" t="s">
        <v>693</v>
      </c>
      <c r="E282" s="2" t="s">
        <v>584</v>
      </c>
      <c r="F282" s="2" t="s">
        <v>845</v>
      </c>
      <c r="G282" s="2" t="s">
        <v>846</v>
      </c>
      <c r="H282" s="2" t="s">
        <v>844</v>
      </c>
      <c r="I282" s="3">
        <v>26</v>
      </c>
      <c r="J282" s="4">
        <v>85</v>
      </c>
      <c r="K282" s="5">
        <v>19</v>
      </c>
      <c r="L282" s="5">
        <v>34</v>
      </c>
      <c r="M282" s="5">
        <v>37</v>
      </c>
      <c r="N282" s="5">
        <v>50</v>
      </c>
      <c r="O282" s="5">
        <v>47</v>
      </c>
      <c r="Q282" s="5">
        <v>33</v>
      </c>
      <c r="S282" s="5">
        <v>9</v>
      </c>
      <c r="AF282" s="7">
        <f t="shared" si="4"/>
        <v>229</v>
      </c>
    </row>
    <row r="283" spans="1:32" ht="15" customHeight="1" x14ac:dyDescent="0.25">
      <c r="A283" t="str">
        <f>IFERROR(_xlfn.XLOOKUP(--F283,[1]imagenes!$D:$D,[1]imagenes!$A:$A),"")</f>
        <v/>
      </c>
      <c r="B283" s="2" t="s">
        <v>32</v>
      </c>
      <c r="C283" s="2" t="s">
        <v>685</v>
      </c>
      <c r="D283" s="2" t="s">
        <v>686</v>
      </c>
      <c r="E283" s="2" t="s">
        <v>847</v>
      </c>
      <c r="F283" s="2" t="s">
        <v>848</v>
      </c>
      <c r="G283" s="2" t="s">
        <v>849</v>
      </c>
      <c r="H283" s="2" t="s">
        <v>850</v>
      </c>
      <c r="I283" s="3">
        <v>28.5</v>
      </c>
      <c r="J283" s="4">
        <v>90</v>
      </c>
      <c r="U283" s="5">
        <v>50</v>
      </c>
      <c r="W283" s="5">
        <v>50</v>
      </c>
      <c r="Y283" s="5">
        <v>36</v>
      </c>
      <c r="AA283" s="5">
        <v>49</v>
      </c>
      <c r="AC283" s="5">
        <v>50</v>
      </c>
      <c r="AD283" s="5">
        <v>49</v>
      </c>
      <c r="AF283" s="7">
        <f t="shared" si="4"/>
        <v>284</v>
      </c>
    </row>
    <row r="284" spans="1:32" ht="15" customHeight="1" x14ac:dyDescent="0.25">
      <c r="A284" t="str">
        <f>IFERROR(_xlfn.XLOOKUP(--F284,[1]imagenes!$D:$D,[1]imagenes!$A:$A),"")</f>
        <v/>
      </c>
      <c r="B284" s="2" t="s">
        <v>32</v>
      </c>
      <c r="C284" s="2" t="s">
        <v>685</v>
      </c>
      <c r="D284" s="2" t="s">
        <v>693</v>
      </c>
      <c r="E284" s="2" t="s">
        <v>847</v>
      </c>
      <c r="F284" s="2" t="s">
        <v>851</v>
      </c>
      <c r="G284" s="2" t="s">
        <v>852</v>
      </c>
      <c r="H284" s="2" t="s">
        <v>850</v>
      </c>
      <c r="I284" s="3">
        <v>28.5</v>
      </c>
      <c r="J284" s="4">
        <v>90</v>
      </c>
      <c r="K284" s="5">
        <v>50</v>
      </c>
      <c r="L284" s="5">
        <v>50</v>
      </c>
      <c r="M284" s="5">
        <v>50</v>
      </c>
      <c r="N284" s="5">
        <v>50</v>
      </c>
      <c r="O284" s="5">
        <v>50</v>
      </c>
      <c r="Q284" s="5">
        <v>50</v>
      </c>
      <c r="S284" s="5">
        <v>41</v>
      </c>
      <c r="AF284" s="7">
        <f t="shared" si="4"/>
        <v>341</v>
      </c>
    </row>
    <row r="285" spans="1:32" ht="15" customHeight="1" x14ac:dyDescent="0.25">
      <c r="A285" t="str">
        <f>IFERROR(_xlfn.XLOOKUP(--F285,[1]imagenes!$D:$D,[1]imagenes!$A:$A),"")</f>
        <v/>
      </c>
      <c r="B285" s="2" t="s">
        <v>32</v>
      </c>
      <c r="C285" s="2" t="s">
        <v>685</v>
      </c>
      <c r="D285" s="2" t="s">
        <v>693</v>
      </c>
      <c r="E285" s="2" t="s">
        <v>853</v>
      </c>
      <c r="F285" s="2" t="s">
        <v>854</v>
      </c>
      <c r="G285" s="2" t="s">
        <v>855</v>
      </c>
      <c r="H285" s="2" t="s">
        <v>856</v>
      </c>
      <c r="I285" s="3">
        <v>27.5</v>
      </c>
      <c r="J285" s="4">
        <v>85</v>
      </c>
      <c r="K285" s="5">
        <v>31</v>
      </c>
      <c r="L285" s="5">
        <v>33</v>
      </c>
      <c r="M285" s="5">
        <v>29</v>
      </c>
      <c r="N285" s="5">
        <v>44</v>
      </c>
      <c r="O285" s="5">
        <v>39</v>
      </c>
      <c r="Q285" s="5">
        <v>27</v>
      </c>
      <c r="S285" s="5">
        <v>31</v>
      </c>
      <c r="AF285" s="7">
        <f t="shared" si="4"/>
        <v>234</v>
      </c>
    </row>
    <row r="286" spans="1:32" ht="15" customHeight="1" x14ac:dyDescent="0.25">
      <c r="A286" t="str">
        <f>IFERROR(_xlfn.XLOOKUP(--F286,[1]imagenes!$D:$D,[1]imagenes!$A:$A),"")</f>
        <v/>
      </c>
      <c r="B286" s="2" t="str">
        <f>"Transito ("&amp;LOWER(INDEX('[1]En Transito'!$B$2:$B$70,MATCH($F286,'[1]En Transito'!$E$2:$E$70,0)))&amp;")"</f>
        <v>Transito (15 dias)</v>
      </c>
      <c r="C286" s="2"/>
      <c r="D286" s="2" t="s">
        <v>34</v>
      </c>
      <c r="E286" s="2" t="s">
        <v>367</v>
      </c>
      <c r="F286" s="2" t="s">
        <v>857</v>
      </c>
      <c r="G286" s="2" t="s">
        <v>858</v>
      </c>
      <c r="H286" s="2" t="s">
        <v>859</v>
      </c>
      <c r="I286" s="3">
        <v>34.5</v>
      </c>
      <c r="J286" s="4">
        <v>130</v>
      </c>
      <c r="U286" s="5">
        <v>1</v>
      </c>
      <c r="W286" s="5">
        <v>1</v>
      </c>
      <c r="Y286" s="5">
        <v>1</v>
      </c>
      <c r="AA286" s="5">
        <v>1</v>
      </c>
      <c r="AF286" s="7">
        <f t="shared" si="4"/>
        <v>4</v>
      </c>
    </row>
    <row r="287" spans="1:32" ht="15" customHeight="1" x14ac:dyDescent="0.25">
      <c r="A287" t="str">
        <f>IFERROR(_xlfn.XLOOKUP(--F287,[1]imagenes!$D:$D,[1]imagenes!$A:$A),"")</f>
        <v/>
      </c>
      <c r="B287" s="2" t="str">
        <f>"Transito ("&amp;LOWER(INDEX('[1]En Transito'!$B$2:$B$70,MATCH($F287,'[1]En Transito'!$E$2:$E$70,0)))&amp;")"</f>
        <v>Transito (15 dias)</v>
      </c>
      <c r="C287" s="2"/>
      <c r="D287" s="2" t="s">
        <v>134</v>
      </c>
      <c r="E287" s="2" t="s">
        <v>367</v>
      </c>
      <c r="F287" s="2" t="s">
        <v>860</v>
      </c>
      <c r="G287" s="2" t="s">
        <v>861</v>
      </c>
      <c r="H287" s="2" t="s">
        <v>859</v>
      </c>
      <c r="I287" s="3">
        <v>34.5</v>
      </c>
      <c r="J287" s="4">
        <v>130</v>
      </c>
      <c r="Q287" s="5">
        <v>1</v>
      </c>
      <c r="R287" s="5">
        <v>1</v>
      </c>
      <c r="S287" s="5">
        <v>1</v>
      </c>
      <c r="AF287" s="7">
        <f t="shared" si="4"/>
        <v>3</v>
      </c>
    </row>
    <row r="288" spans="1:32" ht="15" customHeight="1" x14ac:dyDescent="0.25">
      <c r="A288" t="str">
        <f>IFERROR(_xlfn.XLOOKUP(--F288,[1]imagenes!$D:$D,[1]imagenes!$A:$A),"")</f>
        <v/>
      </c>
      <c r="B288" s="2" t="str">
        <f>"Transito ("&amp;LOWER(INDEX('[1]En Transito'!$B$2:$B$70,MATCH($F288,'[1]En Transito'!$E$2:$E$70,0)))&amp;")"</f>
        <v>Transito (15 dias)</v>
      </c>
      <c r="C288" s="2" t="s">
        <v>332</v>
      </c>
      <c r="D288" s="2" t="s">
        <v>134</v>
      </c>
      <c r="E288" s="2" t="s">
        <v>397</v>
      </c>
      <c r="F288" s="2" t="s">
        <v>401</v>
      </c>
      <c r="G288" s="2" t="s">
        <v>402</v>
      </c>
      <c r="H288" s="2" t="s">
        <v>862</v>
      </c>
      <c r="I288" s="3">
        <v>34.5</v>
      </c>
      <c r="J288" s="4">
        <v>130</v>
      </c>
      <c r="Q288" s="5">
        <v>1</v>
      </c>
      <c r="R288" s="5">
        <v>1</v>
      </c>
      <c r="S288" s="5">
        <v>1</v>
      </c>
      <c r="U288" s="5">
        <v>1</v>
      </c>
      <c r="AF288" s="7">
        <f t="shared" si="4"/>
        <v>4</v>
      </c>
    </row>
    <row r="289" spans="1:32" ht="15" customHeight="1" x14ac:dyDescent="0.25">
      <c r="A289" t="str">
        <f>IFERROR(_xlfn.XLOOKUP(--F289,[1]imagenes!$D:$D,[1]imagenes!$A:$A),"")</f>
        <v/>
      </c>
      <c r="B289" s="2" t="str">
        <f>"Transito ("&amp;LOWER(INDEX('[1]En Transito'!$B$2:$B$70,MATCH($F289,'[1]En Transito'!$E$2:$E$70,0)))&amp;")"</f>
        <v>Transito (15 dias)</v>
      </c>
      <c r="C289" s="2" t="s">
        <v>502</v>
      </c>
      <c r="D289" s="2" t="s">
        <v>134</v>
      </c>
      <c r="E289" s="2" t="s">
        <v>608</v>
      </c>
      <c r="F289" s="2" t="s">
        <v>678</v>
      </c>
      <c r="G289" s="2" t="s">
        <v>679</v>
      </c>
      <c r="H289" s="2" t="s">
        <v>677</v>
      </c>
      <c r="I289" s="3">
        <v>54</v>
      </c>
      <c r="J289" s="4">
        <v>180</v>
      </c>
      <c r="Q289" s="5">
        <v>1</v>
      </c>
      <c r="R289" s="5">
        <v>1</v>
      </c>
      <c r="S289" s="5">
        <v>1</v>
      </c>
      <c r="T289" s="5">
        <v>1</v>
      </c>
      <c r="U289" s="5">
        <v>1</v>
      </c>
      <c r="AF289" s="7">
        <f t="shared" si="4"/>
        <v>5</v>
      </c>
    </row>
    <row r="290" spans="1:32" ht="15" customHeight="1" x14ac:dyDescent="0.25">
      <c r="A290" t="str">
        <f>IFERROR(_xlfn.XLOOKUP(--F290,[1]imagenes!$D:$D,[1]imagenes!$A:$A),"")</f>
        <v/>
      </c>
      <c r="B290" s="2" t="str">
        <f>"Transito ("&amp;LOWER(INDEX('[1]En Transito'!$B$2:$B$70,MATCH($F290,'[1]En Transito'!$E$2:$E$70,0)))&amp;")"</f>
        <v>Transito (15 dias)</v>
      </c>
      <c r="C290" s="2"/>
      <c r="D290" s="2" t="s">
        <v>134</v>
      </c>
      <c r="E290" s="2" t="s">
        <v>608</v>
      </c>
      <c r="F290" s="2" t="s">
        <v>863</v>
      </c>
      <c r="G290" s="2" t="s">
        <v>864</v>
      </c>
      <c r="H290" s="2" t="s">
        <v>672</v>
      </c>
      <c r="I290" s="3">
        <v>54</v>
      </c>
      <c r="J290" s="4">
        <v>180</v>
      </c>
      <c r="Q290" s="5">
        <v>1</v>
      </c>
      <c r="R290" s="5">
        <v>1</v>
      </c>
      <c r="S290" s="5">
        <v>1</v>
      </c>
      <c r="T290" s="5">
        <v>1</v>
      </c>
      <c r="U290" s="5">
        <v>1</v>
      </c>
      <c r="AF290" s="7">
        <f t="shared" si="4"/>
        <v>5</v>
      </c>
    </row>
    <row r="291" spans="1:32" ht="15" customHeight="1" x14ac:dyDescent="0.25">
      <c r="A291" t="str">
        <f>IFERROR(_xlfn.XLOOKUP(--F291,[1]imagenes!$D:$D,[1]imagenes!$A:$A),"")</f>
        <v/>
      </c>
      <c r="B291" s="2" t="str">
        <f>"Transito ("&amp;LOWER(INDEX('[1]En Transito'!$B$2:$B$70,MATCH($F291,'[1]En Transito'!$E$2:$E$70,0)))&amp;")"</f>
        <v>Transito (15 dias)</v>
      </c>
      <c r="C291" s="2" t="s">
        <v>502</v>
      </c>
      <c r="D291" s="2" t="s">
        <v>34</v>
      </c>
      <c r="E291" s="2" t="s">
        <v>503</v>
      </c>
      <c r="F291" s="2" t="s">
        <v>504</v>
      </c>
      <c r="G291" s="2" t="s">
        <v>505</v>
      </c>
      <c r="H291" s="2" t="s">
        <v>506</v>
      </c>
      <c r="I291" s="3">
        <v>49.75</v>
      </c>
      <c r="J291" s="4">
        <v>160</v>
      </c>
      <c r="U291" s="5">
        <v>1</v>
      </c>
      <c r="W291" s="5">
        <v>1</v>
      </c>
      <c r="Y291" s="5">
        <v>1</v>
      </c>
      <c r="AC291" s="5">
        <v>1</v>
      </c>
      <c r="AF291" s="7">
        <f t="shared" si="4"/>
        <v>4</v>
      </c>
    </row>
    <row r="292" spans="1:32" ht="15" customHeight="1" x14ac:dyDescent="0.25">
      <c r="A292" t="str">
        <f>IFERROR(_xlfn.XLOOKUP(--F292,[1]imagenes!$D:$D,[1]imagenes!$A:$A),"")</f>
        <v/>
      </c>
      <c r="B292" s="2" t="str">
        <f>"Transito ("&amp;LOWER(INDEX('[1]En Transito'!$B$2:$B$70,MATCH($F292,'[1]En Transito'!$E$2:$E$70,0)))&amp;")"</f>
        <v>Transito (15 dias)</v>
      </c>
      <c r="C292" s="2" t="s">
        <v>502</v>
      </c>
      <c r="D292" s="2" t="s">
        <v>134</v>
      </c>
      <c r="E292" s="2" t="s">
        <v>519</v>
      </c>
      <c r="F292" s="2" t="s">
        <v>636</v>
      </c>
      <c r="G292" s="2" t="s">
        <v>637</v>
      </c>
      <c r="H292" s="2" t="s">
        <v>638</v>
      </c>
      <c r="I292" s="3">
        <v>47</v>
      </c>
      <c r="J292" s="4">
        <v>150</v>
      </c>
      <c r="Q292" s="5">
        <v>1</v>
      </c>
      <c r="S292" s="5">
        <v>1</v>
      </c>
      <c r="U292" s="5">
        <v>1</v>
      </c>
      <c r="W292" s="5">
        <v>1</v>
      </c>
      <c r="Y292" s="5">
        <v>1</v>
      </c>
      <c r="AF292" s="7">
        <f t="shared" si="4"/>
        <v>5</v>
      </c>
    </row>
    <row r="293" spans="1:32" ht="15" customHeight="1" x14ac:dyDescent="0.25">
      <c r="A293" t="str">
        <f>IFERROR(_xlfn.XLOOKUP(--F293,[1]imagenes!$D:$D,[1]imagenes!$A:$A),"")</f>
        <v/>
      </c>
      <c r="B293" s="2" t="str">
        <f>"Transito ("&amp;LOWER(INDEX('[1]En Transito'!$B$2:$B$70,MATCH($F293,'[1]En Transito'!$E$2:$E$70,0)))&amp;")"</f>
        <v>Transito (15 dias)</v>
      </c>
      <c r="C293" s="2"/>
      <c r="D293" s="2" t="s">
        <v>134</v>
      </c>
      <c r="E293" s="2" t="s">
        <v>337</v>
      </c>
      <c r="F293" s="2" t="s">
        <v>865</v>
      </c>
      <c r="G293" s="2" t="s">
        <v>866</v>
      </c>
      <c r="H293" s="2" t="s">
        <v>867</v>
      </c>
      <c r="I293" s="3">
        <v>33.5</v>
      </c>
      <c r="J293" s="4">
        <v>120</v>
      </c>
      <c r="Q293" s="5">
        <v>1</v>
      </c>
      <c r="U293" s="5">
        <v>1</v>
      </c>
      <c r="Y293" s="5">
        <v>1</v>
      </c>
      <c r="AF293" s="7">
        <f t="shared" si="4"/>
        <v>3</v>
      </c>
    </row>
    <row r="294" spans="1:32" ht="15" customHeight="1" x14ac:dyDescent="0.25">
      <c r="A294" t="str">
        <f>IFERROR(_xlfn.XLOOKUP(--F294,[1]imagenes!$D:$D,[1]imagenes!$A:$A),"")</f>
        <v/>
      </c>
      <c r="B294" s="2" t="str">
        <f>"Transito ("&amp;LOWER(INDEX('[1]En Transito'!$B$2:$B$70,MATCH($F294,'[1]En Transito'!$E$2:$E$70,0)))&amp;")"</f>
        <v>Transito (15 dias)</v>
      </c>
      <c r="C294" s="2" t="s">
        <v>33</v>
      </c>
      <c r="D294" s="2" t="s">
        <v>134</v>
      </c>
      <c r="E294" s="2" t="s">
        <v>73</v>
      </c>
      <c r="F294" s="2" t="s">
        <v>228</v>
      </c>
      <c r="G294" s="2" t="s">
        <v>229</v>
      </c>
      <c r="H294" s="2" t="s">
        <v>69</v>
      </c>
      <c r="I294" s="3">
        <v>48</v>
      </c>
      <c r="J294" s="4">
        <v>150</v>
      </c>
      <c r="O294" s="5">
        <v>2</v>
      </c>
      <c r="P294" s="5">
        <v>3</v>
      </c>
      <c r="Q294" s="5">
        <v>9</v>
      </c>
      <c r="R294" s="5">
        <v>9</v>
      </c>
      <c r="S294" s="5">
        <v>12</v>
      </c>
      <c r="T294" s="5">
        <v>11</v>
      </c>
      <c r="U294" s="5">
        <v>12</v>
      </c>
      <c r="V294" s="5">
        <v>10</v>
      </c>
      <c r="W294" s="5">
        <v>11</v>
      </c>
      <c r="X294" s="5">
        <v>5</v>
      </c>
      <c r="Y294" s="5">
        <v>3</v>
      </c>
      <c r="AF294" s="7">
        <f t="shared" si="4"/>
        <v>87</v>
      </c>
    </row>
    <row r="295" spans="1:32" ht="15" customHeight="1" x14ac:dyDescent="0.25">
      <c r="A295" t="str">
        <f>IFERROR(_xlfn.XLOOKUP(--F295,[1]imagenes!$D:$D,[1]imagenes!$A:$A),"")</f>
        <v/>
      </c>
      <c r="B295" s="2" t="str">
        <f>"Transito ("&amp;LOWER(INDEX('[1]En Transito'!$B$2:$B$70,MATCH($F295,'[1]En Transito'!$E$2:$E$70,0)))&amp;")"</f>
        <v>Transito (15 dias)</v>
      </c>
      <c r="C295" s="2"/>
      <c r="D295" s="2" t="s">
        <v>134</v>
      </c>
      <c r="E295" s="2" t="s">
        <v>73</v>
      </c>
      <c r="F295" s="2" t="s">
        <v>868</v>
      </c>
      <c r="G295" s="2" t="s">
        <v>869</v>
      </c>
      <c r="H295" s="2" t="s">
        <v>870</v>
      </c>
      <c r="I295" s="3">
        <v>48</v>
      </c>
      <c r="J295" s="4">
        <v>150</v>
      </c>
      <c r="Q295" s="5">
        <v>1</v>
      </c>
      <c r="S295" s="5">
        <v>1</v>
      </c>
      <c r="T295" s="5">
        <v>1</v>
      </c>
      <c r="U295" s="5">
        <v>1</v>
      </c>
      <c r="AF295" s="7">
        <f t="shared" si="4"/>
        <v>4</v>
      </c>
    </row>
    <row r="296" spans="1:32" ht="15" customHeight="1" x14ac:dyDescent="0.25">
      <c r="A296" t="str">
        <f>IFERROR(_xlfn.XLOOKUP(--F296,[1]imagenes!$D:$D,[1]imagenes!$A:$A),"")</f>
        <v/>
      </c>
      <c r="B296" s="2" t="str">
        <f>"Transito ("&amp;LOWER(INDEX('[1]En Transito'!$B$2:$B$70,MATCH($F296,'[1]En Transito'!$E$2:$E$70,0)))&amp;")"</f>
        <v>Transito (15 dias)</v>
      </c>
      <c r="C296" s="2"/>
      <c r="D296" s="2" t="s">
        <v>34</v>
      </c>
      <c r="E296" s="2" t="s">
        <v>367</v>
      </c>
      <c r="F296" s="2" t="s">
        <v>871</v>
      </c>
      <c r="G296" s="2" t="s">
        <v>872</v>
      </c>
      <c r="H296" s="2" t="s">
        <v>873</v>
      </c>
      <c r="I296" s="3">
        <v>34.5</v>
      </c>
      <c r="J296" s="4">
        <v>130</v>
      </c>
      <c r="U296" s="5">
        <v>1</v>
      </c>
      <c r="V296" s="5">
        <v>1</v>
      </c>
      <c r="AF296" s="7">
        <f t="shared" si="4"/>
        <v>2</v>
      </c>
    </row>
    <row r="297" spans="1:32" ht="15" customHeight="1" x14ac:dyDescent="0.25">
      <c r="A297" t="str">
        <f>IFERROR(_xlfn.XLOOKUP(--F297,[1]imagenes!$D:$D,[1]imagenes!$A:$A),"")</f>
        <v/>
      </c>
      <c r="B297" s="2" t="str">
        <f>"Transito ("&amp;LOWER(INDEX('[1]En Transito'!$B$2:$B$70,MATCH($F297,'[1]En Transito'!$E$2:$E$70,0)))&amp;")"</f>
        <v>Transito (15 dias)</v>
      </c>
      <c r="C297" s="2" t="s">
        <v>332</v>
      </c>
      <c r="D297" s="2" t="s">
        <v>34</v>
      </c>
      <c r="E297" s="2" t="s">
        <v>367</v>
      </c>
      <c r="F297" s="2" t="s">
        <v>378</v>
      </c>
      <c r="G297" s="2" t="s">
        <v>379</v>
      </c>
      <c r="H297" s="2" t="s">
        <v>380</v>
      </c>
      <c r="I297" s="3">
        <v>34.5</v>
      </c>
      <c r="J297" s="4">
        <v>130</v>
      </c>
      <c r="U297" s="5">
        <v>1</v>
      </c>
      <c r="V297" s="5">
        <v>1</v>
      </c>
      <c r="AF297" s="7">
        <f t="shared" si="4"/>
        <v>2</v>
      </c>
    </row>
    <row r="298" spans="1:32" ht="15" customHeight="1" x14ac:dyDescent="0.25">
      <c r="A298" t="str">
        <f>IFERROR(_xlfn.XLOOKUP(--F298,[1]imagenes!$D:$D,[1]imagenes!$A:$A),"")</f>
        <v/>
      </c>
      <c r="B298" s="2" t="str">
        <f>"Transito ("&amp;LOWER(INDEX('[1]En Transito'!$B$2:$B$70,MATCH($F298,'[1]En Transito'!$E$2:$E$70,0)))&amp;")"</f>
        <v>Transito (15 dias)</v>
      </c>
      <c r="C298" s="2" t="s">
        <v>332</v>
      </c>
      <c r="D298" s="2" t="s">
        <v>34</v>
      </c>
      <c r="E298" s="2" t="s">
        <v>337</v>
      </c>
      <c r="F298" s="2" t="s">
        <v>348</v>
      </c>
      <c r="G298" s="2" t="s">
        <v>349</v>
      </c>
      <c r="H298" s="2" t="s">
        <v>350</v>
      </c>
      <c r="I298" s="3">
        <v>33.5</v>
      </c>
      <c r="J298" s="4">
        <v>120</v>
      </c>
      <c r="Y298" s="5">
        <v>1</v>
      </c>
      <c r="AF298" s="7">
        <f t="shared" si="4"/>
        <v>1</v>
      </c>
    </row>
    <row r="299" spans="1:32" ht="15" customHeight="1" x14ac:dyDescent="0.25">
      <c r="A299" t="str">
        <f>IFERROR(_xlfn.XLOOKUP(--F299,[1]imagenes!$D:$D,[1]imagenes!$A:$A),"")</f>
        <v/>
      </c>
      <c r="B299" s="2" t="str">
        <f>"Transito ("&amp;LOWER(INDEX('[1]En Transito'!$B$2:$B$70,MATCH($F299,'[1]En Transito'!$E$2:$E$70,0)))&amp;")"</f>
        <v>Transito (15 dias)</v>
      </c>
      <c r="C299" s="2"/>
      <c r="D299" s="2" t="s">
        <v>34</v>
      </c>
      <c r="E299" s="2" t="s">
        <v>337</v>
      </c>
      <c r="F299" s="2" t="s">
        <v>874</v>
      </c>
      <c r="G299" s="2" t="s">
        <v>875</v>
      </c>
      <c r="H299" s="2" t="s">
        <v>876</v>
      </c>
      <c r="I299" s="3">
        <v>33.5</v>
      </c>
      <c r="J299" s="4">
        <v>120</v>
      </c>
      <c r="U299" s="5">
        <v>1</v>
      </c>
      <c r="V299" s="5">
        <v>1</v>
      </c>
      <c r="W299" s="5">
        <v>1</v>
      </c>
      <c r="AF299" s="7">
        <f t="shared" si="4"/>
        <v>3</v>
      </c>
    </row>
    <row r="300" spans="1:32" ht="15" customHeight="1" x14ac:dyDescent="0.25">
      <c r="A300" t="str">
        <f>IFERROR(_xlfn.XLOOKUP(--F300,[1]imagenes!$D:$D,[1]imagenes!$A:$A),"")</f>
        <v/>
      </c>
      <c r="B300" s="2" t="str">
        <f>"Transito ("&amp;LOWER(INDEX('[1]En Transito'!$B$2:$B$70,MATCH($F300,'[1]En Transito'!$E$2:$E$70,0)))&amp;")"</f>
        <v>Transito (15 dias)</v>
      </c>
      <c r="C300" s="2"/>
      <c r="D300" s="2" t="s">
        <v>134</v>
      </c>
      <c r="E300" s="2" t="s">
        <v>337</v>
      </c>
      <c r="F300" s="2" t="s">
        <v>877</v>
      </c>
      <c r="G300" s="2" t="s">
        <v>878</v>
      </c>
      <c r="H300" s="2" t="s">
        <v>879</v>
      </c>
      <c r="I300" s="3">
        <v>33.5</v>
      </c>
      <c r="J300" s="4">
        <v>120</v>
      </c>
      <c r="Q300" s="5">
        <v>1</v>
      </c>
      <c r="S300" s="5">
        <v>1</v>
      </c>
      <c r="AF300" s="7">
        <f t="shared" si="4"/>
        <v>2</v>
      </c>
    </row>
    <row r="301" spans="1:32" ht="15" customHeight="1" x14ac:dyDescent="0.25">
      <c r="A301" t="str">
        <f>IFERROR(_xlfn.XLOOKUP(--F301,[1]imagenes!$D:$D,[1]imagenes!$A:$A),"")</f>
        <v/>
      </c>
      <c r="B301" s="2" t="str">
        <f>"Transito ("&amp;LOWER(INDEX('[1]En Transito'!$B$2:$B$70,MATCH($F301,'[1]En Transito'!$E$2:$E$70,0)))&amp;")"</f>
        <v>Transito (15 dias)</v>
      </c>
      <c r="C301" s="2"/>
      <c r="D301" s="2" t="s">
        <v>34</v>
      </c>
      <c r="E301" s="2" t="s">
        <v>100</v>
      </c>
      <c r="F301" s="2" t="s">
        <v>880</v>
      </c>
      <c r="G301" s="2" t="s">
        <v>881</v>
      </c>
      <c r="H301" s="2" t="s">
        <v>882</v>
      </c>
      <c r="I301" s="3">
        <v>33</v>
      </c>
      <c r="J301" s="4">
        <v>115</v>
      </c>
      <c r="Y301" s="5">
        <v>1</v>
      </c>
      <c r="AA301" s="5">
        <v>1</v>
      </c>
      <c r="AC301" s="5">
        <v>1</v>
      </c>
      <c r="AF301" s="7">
        <f t="shared" si="4"/>
        <v>3</v>
      </c>
    </row>
    <row r="302" spans="1:32" ht="15" customHeight="1" x14ac:dyDescent="0.25">
      <c r="A302" t="str">
        <f>IFERROR(_xlfn.XLOOKUP(--F302,[1]imagenes!$D:$D,[1]imagenes!$A:$A),"")</f>
        <v/>
      </c>
      <c r="B302" s="2" t="str">
        <f>"Transito ("&amp;LOWER(INDEX('[1]En Transito'!$B$2:$B$70,MATCH($F302,'[1]En Transito'!$E$2:$E$70,0)))&amp;")"</f>
        <v>Transito (15 dias)</v>
      </c>
      <c r="C302" s="2"/>
      <c r="D302" s="2" t="s">
        <v>134</v>
      </c>
      <c r="E302" s="2" t="s">
        <v>367</v>
      </c>
      <c r="F302" s="2" t="s">
        <v>883</v>
      </c>
      <c r="G302" s="2" t="s">
        <v>884</v>
      </c>
      <c r="H302" s="2" t="s">
        <v>885</v>
      </c>
      <c r="I302" s="3">
        <v>34.5</v>
      </c>
      <c r="J302" s="4">
        <v>130</v>
      </c>
      <c r="Q302" s="5">
        <v>1</v>
      </c>
      <c r="R302" s="5">
        <v>1</v>
      </c>
      <c r="AF302" s="7">
        <f t="shared" si="4"/>
        <v>2</v>
      </c>
    </row>
    <row r="303" spans="1:32" ht="15" customHeight="1" x14ac:dyDescent="0.25">
      <c r="A303" t="str">
        <f>IFERROR(_xlfn.XLOOKUP(--F303,[1]imagenes!$D:$D,[1]imagenes!$A:$A),"")</f>
        <v/>
      </c>
      <c r="B303" s="2" t="str">
        <f>"Transito ("&amp;LOWER(INDEX('[1]En Transito'!$B$2:$B$70,MATCH($F303,'[1]En Transito'!$E$2:$E$70,0)))&amp;")"</f>
        <v>Transito (15 dias)</v>
      </c>
      <c r="C303" s="2"/>
      <c r="D303" s="2" t="s">
        <v>134</v>
      </c>
      <c r="E303" s="2" t="s">
        <v>367</v>
      </c>
      <c r="F303" s="2" t="s">
        <v>886</v>
      </c>
      <c r="G303" s="2" t="s">
        <v>887</v>
      </c>
      <c r="H303" s="2" t="s">
        <v>888</v>
      </c>
      <c r="I303" s="3">
        <v>34.5</v>
      </c>
      <c r="J303" s="4">
        <v>130</v>
      </c>
      <c r="Q303" s="5">
        <v>1</v>
      </c>
      <c r="R303" s="5">
        <v>1</v>
      </c>
      <c r="S303" s="5">
        <v>1</v>
      </c>
      <c r="AF303" s="7">
        <f t="shared" si="4"/>
        <v>3</v>
      </c>
    </row>
    <row r="304" spans="1:32" ht="15" customHeight="1" x14ac:dyDescent="0.25">
      <c r="A304" t="str">
        <f>IFERROR(_xlfn.XLOOKUP(--F304,[1]imagenes!$D:$D,[1]imagenes!$A:$A),"")</f>
        <v/>
      </c>
      <c r="B304" s="2" t="str">
        <f>"Transito ("&amp;LOWER(INDEX('[1]En Transito'!$B$2:$B$70,MATCH($F304,'[1]En Transito'!$E$2:$E$70,0)))&amp;")"</f>
        <v>Transito (15 dias)</v>
      </c>
      <c r="C304" s="2"/>
      <c r="D304" s="2" t="s">
        <v>134</v>
      </c>
      <c r="E304" s="2" t="s">
        <v>367</v>
      </c>
      <c r="F304" s="2" t="s">
        <v>889</v>
      </c>
      <c r="G304" s="2" t="s">
        <v>890</v>
      </c>
      <c r="H304" s="2" t="s">
        <v>891</v>
      </c>
      <c r="I304" s="3">
        <v>34.5</v>
      </c>
      <c r="J304" s="4">
        <v>130</v>
      </c>
      <c r="S304" s="5">
        <v>1</v>
      </c>
      <c r="AF304" s="7">
        <f t="shared" si="4"/>
        <v>1</v>
      </c>
    </row>
    <row r="305" spans="1:32" ht="15" customHeight="1" x14ac:dyDescent="0.25">
      <c r="A305" t="str">
        <f>IFERROR(_xlfn.XLOOKUP(--F305,[1]imagenes!$D:$D,[1]imagenes!$A:$A),"")</f>
        <v/>
      </c>
      <c r="B305" s="2" t="str">
        <f>"Transito ("&amp;LOWER(INDEX('[1]En Transito'!$B$2:$B$70,MATCH($F305,'[1]En Transito'!$E$2:$E$70,0)))&amp;")"</f>
        <v>Transito (15 dias)</v>
      </c>
      <c r="C305" s="2"/>
      <c r="D305" s="2" t="s">
        <v>134</v>
      </c>
      <c r="E305" s="2" t="s">
        <v>367</v>
      </c>
      <c r="F305" s="2" t="s">
        <v>892</v>
      </c>
      <c r="G305" s="2" t="s">
        <v>893</v>
      </c>
      <c r="H305" s="2" t="s">
        <v>894</v>
      </c>
      <c r="I305" s="3">
        <v>34.5</v>
      </c>
      <c r="J305" s="4">
        <v>130</v>
      </c>
      <c r="Q305" s="5">
        <v>1</v>
      </c>
      <c r="R305" s="5">
        <v>1</v>
      </c>
      <c r="T305" s="5">
        <v>1</v>
      </c>
      <c r="U305" s="5">
        <v>1</v>
      </c>
      <c r="AF305" s="7">
        <f t="shared" si="4"/>
        <v>4</v>
      </c>
    </row>
    <row r="306" spans="1:32" ht="15" customHeight="1" x14ac:dyDescent="0.25">
      <c r="A306" t="str">
        <f>IFERROR(_xlfn.XLOOKUP(--F306,[1]imagenes!$D:$D,[1]imagenes!$A:$A),"")</f>
        <v/>
      </c>
      <c r="B306" s="2" t="str">
        <f>"Transito ("&amp;LOWER(INDEX('[1]En Transito'!$B$2:$B$70,MATCH($F306,'[1]En Transito'!$E$2:$E$70,0)))&amp;")"</f>
        <v>Transito (60 dias)</v>
      </c>
      <c r="C306" s="2" t="s">
        <v>332</v>
      </c>
      <c r="D306" s="2" t="s">
        <v>134</v>
      </c>
      <c r="E306" s="2" t="s">
        <v>337</v>
      </c>
      <c r="F306" s="2" t="s">
        <v>417</v>
      </c>
      <c r="G306" s="2" t="s">
        <v>418</v>
      </c>
      <c r="H306" s="2" t="s">
        <v>360</v>
      </c>
      <c r="I306" s="3">
        <v>33.5</v>
      </c>
      <c r="J306" s="4">
        <v>120</v>
      </c>
      <c r="O306" s="5">
        <v>3</v>
      </c>
      <c r="P306" s="5">
        <v>3</v>
      </c>
      <c r="Q306" s="5">
        <v>11</v>
      </c>
      <c r="R306" s="5">
        <v>10</v>
      </c>
      <c r="S306" s="5">
        <v>13</v>
      </c>
      <c r="T306" s="5">
        <v>11</v>
      </c>
      <c r="U306" s="5">
        <v>14</v>
      </c>
      <c r="V306" s="5">
        <v>11</v>
      </c>
      <c r="W306" s="5">
        <v>14</v>
      </c>
      <c r="X306" s="5">
        <v>7</v>
      </c>
      <c r="Y306" s="5">
        <v>5</v>
      </c>
      <c r="AF306" s="7">
        <f t="shared" si="4"/>
        <v>102</v>
      </c>
    </row>
    <row r="307" spans="1:32" ht="15" customHeight="1" x14ac:dyDescent="0.25">
      <c r="A307" t="str">
        <f>IFERROR(_xlfn.XLOOKUP(--F307,[1]imagenes!$D:$D,[1]imagenes!$A:$A),"")</f>
        <v/>
      </c>
      <c r="B307" s="2" t="str">
        <f>"Transito ("&amp;LOWER(INDEX('[1]En Transito'!$B$2:$B$70,MATCH($F307,'[1]En Transito'!$E$2:$E$70,0)))&amp;")"</f>
        <v>Transito (60 dias)</v>
      </c>
      <c r="C307" s="2" t="s">
        <v>332</v>
      </c>
      <c r="D307" s="2" t="s">
        <v>134</v>
      </c>
      <c r="E307" s="2" t="s">
        <v>337</v>
      </c>
      <c r="F307" s="2" t="s">
        <v>419</v>
      </c>
      <c r="G307" s="2" t="s">
        <v>420</v>
      </c>
      <c r="H307" s="2" t="s">
        <v>66</v>
      </c>
      <c r="I307" s="3">
        <v>33.5</v>
      </c>
      <c r="J307" s="4">
        <v>120</v>
      </c>
      <c r="O307" s="5">
        <v>3</v>
      </c>
      <c r="P307" s="5">
        <v>3</v>
      </c>
      <c r="Q307" s="5">
        <v>11</v>
      </c>
      <c r="R307" s="5">
        <v>10</v>
      </c>
      <c r="S307" s="5">
        <v>13</v>
      </c>
      <c r="T307" s="5">
        <v>11</v>
      </c>
      <c r="U307" s="5">
        <v>14</v>
      </c>
      <c r="V307" s="5">
        <v>11</v>
      </c>
      <c r="W307" s="5">
        <v>14</v>
      </c>
      <c r="X307" s="5">
        <v>7</v>
      </c>
      <c r="Y307" s="5">
        <v>5</v>
      </c>
      <c r="AF307" s="7">
        <f t="shared" si="4"/>
        <v>102</v>
      </c>
    </row>
    <row r="308" spans="1:32" ht="15" customHeight="1" x14ac:dyDescent="0.25">
      <c r="A308" t="str">
        <f>IFERROR(_xlfn.XLOOKUP(--F308,[1]imagenes!$D:$D,[1]imagenes!$A:$A),"")</f>
        <v/>
      </c>
      <c r="B308" s="2" t="str">
        <f>"Transito ("&amp;LOWER(INDEX('[1]En Transito'!$B$2:$B$70,MATCH($F308,'[1]En Transito'!$E$2:$E$70,0)))&amp;")"</f>
        <v>Transito (60 dias)</v>
      </c>
      <c r="C308" s="2" t="s">
        <v>332</v>
      </c>
      <c r="D308" s="2" t="s">
        <v>134</v>
      </c>
      <c r="E308" s="2" t="s">
        <v>337</v>
      </c>
      <c r="F308" s="2" t="s">
        <v>421</v>
      </c>
      <c r="G308" s="2" t="s">
        <v>422</v>
      </c>
      <c r="H308" s="2" t="s">
        <v>259</v>
      </c>
      <c r="I308" s="3">
        <v>33.5</v>
      </c>
      <c r="J308" s="4">
        <v>120</v>
      </c>
      <c r="O308" s="5">
        <v>3</v>
      </c>
      <c r="P308" s="5">
        <v>3</v>
      </c>
      <c r="Q308" s="5">
        <v>11</v>
      </c>
      <c r="R308" s="5">
        <v>10</v>
      </c>
      <c r="S308" s="5">
        <v>13</v>
      </c>
      <c r="T308" s="5">
        <v>11</v>
      </c>
      <c r="U308" s="5">
        <v>14</v>
      </c>
      <c r="V308" s="5">
        <v>11</v>
      </c>
      <c r="W308" s="5">
        <v>14</v>
      </c>
      <c r="X308" s="5">
        <v>7</v>
      </c>
      <c r="Y308" s="5">
        <v>5</v>
      </c>
      <c r="AF308" s="7">
        <f t="shared" si="4"/>
        <v>102</v>
      </c>
    </row>
    <row r="309" spans="1:32" ht="15" customHeight="1" x14ac:dyDescent="0.25">
      <c r="A309" t="str">
        <f>IFERROR(_xlfn.XLOOKUP(--F309,[1]imagenes!$D:$D,[1]imagenes!$A:$A),"")</f>
        <v/>
      </c>
      <c r="B309" s="2" t="str">
        <f>"Transito ("&amp;LOWER(INDEX('[1]En Transito'!$B$2:$B$70,MATCH($F309,'[1]En Transito'!$E$2:$E$70,0)))&amp;")"</f>
        <v>Transito (60 dias)</v>
      </c>
      <c r="C309" s="2" t="s">
        <v>332</v>
      </c>
      <c r="D309" s="2" t="s">
        <v>134</v>
      </c>
      <c r="E309" s="2" t="s">
        <v>337</v>
      </c>
      <c r="F309" s="2" t="s">
        <v>423</v>
      </c>
      <c r="G309" s="2" t="s">
        <v>424</v>
      </c>
      <c r="H309" s="2" t="s">
        <v>425</v>
      </c>
      <c r="I309" s="3">
        <v>33.5</v>
      </c>
      <c r="J309" s="4">
        <v>120</v>
      </c>
      <c r="O309" s="5">
        <v>3</v>
      </c>
      <c r="P309" s="5">
        <v>3</v>
      </c>
      <c r="Q309" s="5">
        <v>11</v>
      </c>
      <c r="R309" s="5">
        <v>10</v>
      </c>
      <c r="S309" s="5">
        <v>13</v>
      </c>
      <c r="T309" s="5">
        <v>11</v>
      </c>
      <c r="U309" s="5">
        <v>14</v>
      </c>
      <c r="V309" s="5">
        <v>11</v>
      </c>
      <c r="W309" s="5">
        <v>14</v>
      </c>
      <c r="X309" s="5">
        <v>7</v>
      </c>
      <c r="Y309" s="5">
        <v>5</v>
      </c>
      <c r="AF309" s="7">
        <f t="shared" si="4"/>
        <v>102</v>
      </c>
    </row>
    <row r="310" spans="1:32" ht="15" customHeight="1" x14ac:dyDescent="0.25">
      <c r="A310" t="str">
        <f>IFERROR(_xlfn.XLOOKUP(--F310,[1]imagenes!$D:$D,[1]imagenes!$A:$A),"")</f>
        <v/>
      </c>
      <c r="B310" s="2" t="str">
        <f>"Transito ("&amp;LOWER(INDEX('[1]En Transito'!$B$2:$B$70,MATCH($F310,'[1]En Transito'!$E$2:$E$70,0)))&amp;")"</f>
        <v>Transito (60 dias)</v>
      </c>
      <c r="C310" s="2" t="s">
        <v>332</v>
      </c>
      <c r="D310" s="2" t="s">
        <v>134</v>
      </c>
      <c r="E310" s="2" t="s">
        <v>337</v>
      </c>
      <c r="F310" s="2" t="s">
        <v>429</v>
      </c>
      <c r="G310" s="2" t="s">
        <v>430</v>
      </c>
      <c r="H310" s="2" t="s">
        <v>431</v>
      </c>
      <c r="I310" s="3">
        <v>33.5</v>
      </c>
      <c r="J310" s="4">
        <v>120</v>
      </c>
      <c r="O310" s="5">
        <v>3</v>
      </c>
      <c r="P310" s="5">
        <v>3</v>
      </c>
      <c r="Q310" s="5">
        <v>11</v>
      </c>
      <c r="R310" s="5">
        <v>10</v>
      </c>
      <c r="S310" s="5">
        <v>13</v>
      </c>
      <c r="T310" s="5">
        <v>11</v>
      </c>
      <c r="U310" s="5">
        <v>14</v>
      </c>
      <c r="V310" s="5">
        <v>11</v>
      </c>
      <c r="W310" s="5">
        <v>14</v>
      </c>
      <c r="X310" s="5">
        <v>7</v>
      </c>
      <c r="Y310" s="5">
        <v>5</v>
      </c>
      <c r="AF310" s="7">
        <f t="shared" si="4"/>
        <v>102</v>
      </c>
    </row>
    <row r="311" spans="1:32" ht="15" customHeight="1" x14ac:dyDescent="0.25">
      <c r="A311" t="str">
        <f>IFERROR(_xlfn.XLOOKUP(--F311,[1]imagenes!$D:$D,[1]imagenes!$A:$A),"")</f>
        <v/>
      </c>
      <c r="B311" s="2" t="str">
        <f>"Transito ("&amp;LOWER(INDEX('[1]En Transito'!$B$2:$B$70,MATCH($F311,'[1]En Transito'!$E$2:$E$70,0)))&amp;")"</f>
        <v>Transito (60 dias)</v>
      </c>
      <c r="C311" s="2" t="s">
        <v>33</v>
      </c>
      <c r="D311" s="2" t="s">
        <v>134</v>
      </c>
      <c r="E311" s="2" t="s">
        <v>59</v>
      </c>
      <c r="F311" s="2" t="s">
        <v>207</v>
      </c>
      <c r="G311" s="2" t="s">
        <v>208</v>
      </c>
      <c r="H311" s="2" t="s">
        <v>209</v>
      </c>
      <c r="I311" s="3">
        <v>35.5</v>
      </c>
      <c r="J311" s="4">
        <v>140</v>
      </c>
      <c r="P311" s="5">
        <v>3</v>
      </c>
      <c r="Q311" s="5">
        <v>11</v>
      </c>
      <c r="R311" s="5">
        <v>10</v>
      </c>
      <c r="S311" s="5">
        <v>13</v>
      </c>
      <c r="T311" s="5">
        <v>11</v>
      </c>
      <c r="U311" s="5">
        <v>14</v>
      </c>
      <c r="V311" s="5">
        <v>11</v>
      </c>
      <c r="W311" s="5">
        <v>14</v>
      </c>
      <c r="X311" s="5">
        <v>7</v>
      </c>
      <c r="Y311" s="5">
        <v>5</v>
      </c>
      <c r="AF311" s="7">
        <f t="shared" si="4"/>
        <v>99</v>
      </c>
    </row>
    <row r="312" spans="1:32" ht="15" customHeight="1" x14ac:dyDescent="0.25">
      <c r="A312" t="str">
        <f>IFERROR(_xlfn.XLOOKUP(--F312,[1]imagenes!$D:$D,[1]imagenes!$A:$A),"")</f>
        <v/>
      </c>
      <c r="B312" s="2" t="str">
        <f>"Transito ("&amp;LOWER(INDEX('[1]En Transito'!$B$2:$B$70,MATCH($F312,'[1]En Transito'!$E$2:$E$70,0)))&amp;")"</f>
        <v>Transito (60 dias)</v>
      </c>
      <c r="C312" s="2"/>
      <c r="D312" s="2" t="s">
        <v>134</v>
      </c>
      <c r="E312" s="2" t="s">
        <v>73</v>
      </c>
      <c r="F312" s="2" t="s">
        <v>895</v>
      </c>
      <c r="G312" s="2" t="s">
        <v>896</v>
      </c>
      <c r="H312" s="2" t="s">
        <v>897</v>
      </c>
      <c r="I312" s="3">
        <v>48</v>
      </c>
      <c r="J312" s="4">
        <v>150</v>
      </c>
      <c r="O312" s="5">
        <v>2</v>
      </c>
      <c r="P312" s="5">
        <v>3</v>
      </c>
      <c r="Q312" s="5">
        <v>9</v>
      </c>
      <c r="R312" s="5">
        <v>9</v>
      </c>
      <c r="S312" s="5">
        <v>11</v>
      </c>
      <c r="T312" s="5">
        <v>10</v>
      </c>
      <c r="U312" s="5">
        <v>11</v>
      </c>
      <c r="V312" s="5">
        <v>10</v>
      </c>
      <c r="W312" s="5">
        <v>11</v>
      </c>
      <c r="X312" s="5">
        <v>5</v>
      </c>
      <c r="Y312" s="5">
        <v>3</v>
      </c>
      <c r="AF312" s="7">
        <f t="shared" si="4"/>
        <v>84</v>
      </c>
    </row>
    <row r="313" spans="1:32" ht="15" customHeight="1" x14ac:dyDescent="0.25">
      <c r="A313" t="str">
        <f>IFERROR(_xlfn.XLOOKUP(--F313,[1]imagenes!$D:$D,[1]imagenes!$A:$A),"")</f>
        <v/>
      </c>
      <c r="B313" s="2" t="str">
        <f>"Transito ("&amp;LOWER(INDEX('[1]En Transito'!$B$2:$B$70,MATCH($F313,'[1]En Transito'!$E$2:$E$70,0)))&amp;")"</f>
        <v>Transito (60 dias)</v>
      </c>
      <c r="C313" s="2" t="s">
        <v>33</v>
      </c>
      <c r="D313" s="2" t="s">
        <v>134</v>
      </c>
      <c r="E313" s="2" t="s">
        <v>100</v>
      </c>
      <c r="F313" s="2" t="s">
        <v>274</v>
      </c>
      <c r="G313" s="2" t="s">
        <v>275</v>
      </c>
      <c r="H313" s="2" t="s">
        <v>103</v>
      </c>
      <c r="I313" s="3">
        <v>33</v>
      </c>
      <c r="J313" s="4">
        <v>115</v>
      </c>
      <c r="O313" s="5">
        <v>2</v>
      </c>
      <c r="P313" s="5">
        <v>3</v>
      </c>
      <c r="Q313" s="5">
        <v>9</v>
      </c>
      <c r="R313" s="5">
        <v>9</v>
      </c>
      <c r="S313" s="5">
        <v>11</v>
      </c>
      <c r="T313" s="5">
        <v>10</v>
      </c>
      <c r="U313" s="5">
        <v>11</v>
      </c>
      <c r="V313" s="5">
        <v>10</v>
      </c>
      <c r="W313" s="5">
        <v>11</v>
      </c>
      <c r="X313" s="5">
        <v>5</v>
      </c>
      <c r="Y313" s="5">
        <v>3</v>
      </c>
      <c r="AF313" s="7">
        <f t="shared" si="4"/>
        <v>84</v>
      </c>
    </row>
    <row r="314" spans="1:32" ht="15" customHeight="1" x14ac:dyDescent="0.25">
      <c r="A314" t="str">
        <f>IFERROR(_xlfn.XLOOKUP(--F314,[1]imagenes!$D:$D,[1]imagenes!$A:$A),"")</f>
        <v/>
      </c>
      <c r="B314" s="2" t="str">
        <f>"Transito ("&amp;LOWER(INDEX('[1]En Transito'!$B$2:$B$70,MATCH($F314,'[1]En Transito'!$E$2:$E$70,0)))&amp;")"</f>
        <v>Transito (60 dias)</v>
      </c>
      <c r="C314" s="2"/>
      <c r="D314" s="2" t="s">
        <v>134</v>
      </c>
      <c r="E314" s="2" t="s">
        <v>100</v>
      </c>
      <c r="F314" s="2" t="s">
        <v>898</v>
      </c>
      <c r="G314" s="2" t="s">
        <v>899</v>
      </c>
      <c r="H314" s="2" t="s">
        <v>900</v>
      </c>
      <c r="I314" s="3">
        <v>33</v>
      </c>
      <c r="J314" s="4">
        <v>115</v>
      </c>
      <c r="O314" s="5">
        <v>2</v>
      </c>
      <c r="Q314" s="5">
        <v>9</v>
      </c>
      <c r="R314" s="5">
        <v>9</v>
      </c>
      <c r="S314" s="5">
        <v>11</v>
      </c>
      <c r="T314" s="5">
        <v>10</v>
      </c>
      <c r="U314" s="5">
        <v>11</v>
      </c>
      <c r="V314" s="5">
        <v>10</v>
      </c>
      <c r="W314" s="5">
        <v>11</v>
      </c>
      <c r="X314" s="5">
        <v>5</v>
      </c>
      <c r="Y314" s="5">
        <v>3</v>
      </c>
      <c r="AF314" s="7">
        <f t="shared" si="4"/>
        <v>81</v>
      </c>
    </row>
    <row r="315" spans="1:32" ht="15" customHeight="1" x14ac:dyDescent="0.25">
      <c r="A315" t="str">
        <f>IFERROR(_xlfn.XLOOKUP(--F315,[1]imagenes!$D:$D,[1]imagenes!$A:$A),"")</f>
        <v/>
      </c>
      <c r="B315" s="2" t="str">
        <f>"Transito ("&amp;LOWER(INDEX('[1]En Transito'!$B$2:$B$70,MATCH($F315,'[1]En Transito'!$E$2:$E$70,0)))&amp;")"</f>
        <v>Transito (60 dias)</v>
      </c>
      <c r="C315" s="2" t="s">
        <v>33</v>
      </c>
      <c r="D315" s="2" t="s">
        <v>134</v>
      </c>
      <c r="E315" s="2" t="s">
        <v>100</v>
      </c>
      <c r="F315" s="2" t="s">
        <v>289</v>
      </c>
      <c r="G315" s="2" t="s">
        <v>290</v>
      </c>
      <c r="H315" s="2" t="s">
        <v>291</v>
      </c>
      <c r="I315" s="3">
        <v>33</v>
      </c>
      <c r="J315" s="4">
        <v>115</v>
      </c>
      <c r="O315" s="5">
        <v>2</v>
      </c>
      <c r="P315" s="5">
        <v>3</v>
      </c>
      <c r="Q315" s="5">
        <v>9</v>
      </c>
      <c r="R315" s="5">
        <v>9</v>
      </c>
      <c r="S315" s="5">
        <v>11</v>
      </c>
      <c r="T315" s="5">
        <v>10</v>
      </c>
      <c r="U315" s="5">
        <v>11</v>
      </c>
      <c r="V315" s="5">
        <v>10</v>
      </c>
      <c r="W315" s="5">
        <v>11</v>
      </c>
      <c r="X315" s="5">
        <v>5</v>
      </c>
      <c r="Y315" s="5">
        <v>3</v>
      </c>
      <c r="AF315" s="7">
        <f t="shared" si="4"/>
        <v>84</v>
      </c>
    </row>
    <row r="316" spans="1:32" ht="15" customHeight="1" x14ac:dyDescent="0.25">
      <c r="A316" t="str">
        <f>IFERROR(_xlfn.XLOOKUP(--F316,[1]imagenes!$D:$D,[1]imagenes!$A:$A),"")</f>
        <v/>
      </c>
      <c r="B316" s="2" t="str">
        <f>"Transito ("&amp;LOWER(INDEX('[1]En Transito'!$B$2:$B$70,MATCH($F316,'[1]En Transito'!$E$2:$E$70,0)))&amp;")"</f>
        <v>Transito (60 dias)</v>
      </c>
      <c r="C316" s="2" t="s">
        <v>33</v>
      </c>
      <c r="D316" s="2" t="s">
        <v>134</v>
      </c>
      <c r="E316" s="2" t="s">
        <v>100</v>
      </c>
      <c r="F316" s="2" t="s">
        <v>292</v>
      </c>
      <c r="G316" s="2" t="s">
        <v>293</v>
      </c>
      <c r="H316" s="2" t="s">
        <v>294</v>
      </c>
      <c r="I316" s="3">
        <v>33</v>
      </c>
      <c r="J316" s="4">
        <v>115</v>
      </c>
      <c r="O316" s="5">
        <v>2</v>
      </c>
      <c r="P316" s="5">
        <v>3</v>
      </c>
      <c r="Q316" s="5">
        <v>9</v>
      </c>
      <c r="R316" s="5">
        <v>9</v>
      </c>
      <c r="S316" s="5">
        <v>11</v>
      </c>
      <c r="T316" s="5">
        <v>10</v>
      </c>
      <c r="U316" s="5">
        <v>11</v>
      </c>
      <c r="V316" s="5">
        <v>10</v>
      </c>
      <c r="W316" s="5">
        <v>11</v>
      </c>
      <c r="X316" s="5">
        <v>5</v>
      </c>
      <c r="Y316" s="5">
        <v>3</v>
      </c>
      <c r="AF316" s="7">
        <f t="shared" si="4"/>
        <v>84</v>
      </c>
    </row>
    <row r="317" spans="1:32" ht="15" customHeight="1" x14ac:dyDescent="0.25">
      <c r="A317" t="str">
        <f>IFERROR(_xlfn.XLOOKUP(--F317,[1]imagenes!$D:$D,[1]imagenes!$A:$A),"")</f>
        <v/>
      </c>
      <c r="B317" s="2" t="str">
        <f>"Transito ("&amp;LOWER(INDEX('[1]En Transito'!$B$2:$B$70,MATCH($F317,'[1]En Transito'!$E$2:$E$70,0)))&amp;")"</f>
        <v>Transito (60 dias)</v>
      </c>
      <c r="C317" s="2" t="s">
        <v>332</v>
      </c>
      <c r="D317" s="2" t="s">
        <v>134</v>
      </c>
      <c r="E317" s="2" t="s">
        <v>367</v>
      </c>
      <c r="F317" s="2" t="s">
        <v>435</v>
      </c>
      <c r="G317" s="2" t="s">
        <v>436</v>
      </c>
      <c r="H317" s="2" t="s">
        <v>437</v>
      </c>
      <c r="I317" s="3">
        <v>34.5</v>
      </c>
      <c r="J317" s="4">
        <v>130</v>
      </c>
      <c r="O317" s="5">
        <v>3</v>
      </c>
      <c r="P317" s="5">
        <v>3</v>
      </c>
      <c r="Q317" s="5">
        <v>11</v>
      </c>
      <c r="R317" s="5">
        <v>10</v>
      </c>
      <c r="S317" s="5">
        <v>13</v>
      </c>
      <c r="T317" s="5">
        <v>11</v>
      </c>
      <c r="U317" s="5">
        <v>14</v>
      </c>
      <c r="V317" s="5">
        <v>11</v>
      </c>
      <c r="W317" s="5">
        <v>14</v>
      </c>
      <c r="X317" s="5">
        <v>7</v>
      </c>
      <c r="Y317" s="5">
        <v>5</v>
      </c>
      <c r="AF317" s="7">
        <f t="shared" si="4"/>
        <v>102</v>
      </c>
    </row>
    <row r="318" spans="1:32" ht="15" customHeight="1" x14ac:dyDescent="0.25">
      <c r="A318" t="str">
        <f>IFERROR(_xlfn.XLOOKUP(--F318,[1]imagenes!$D:$D,[1]imagenes!$A:$A),"")</f>
        <v/>
      </c>
      <c r="B318" s="2" t="str">
        <f>"Transito ("&amp;LOWER(INDEX('[1]En Transito'!$B$2:$B$70,MATCH($F318,'[1]En Transito'!$E$2:$E$70,0)))&amp;")"</f>
        <v>Transito (60 dias)</v>
      </c>
      <c r="C318" s="2"/>
      <c r="D318" s="2" t="s">
        <v>134</v>
      </c>
      <c r="E318" s="2" t="s">
        <v>901</v>
      </c>
      <c r="F318" s="2" t="s">
        <v>902</v>
      </c>
      <c r="G318" s="2" t="s">
        <v>903</v>
      </c>
      <c r="H318" s="2" t="s">
        <v>69</v>
      </c>
      <c r="I318" s="3">
        <v>52</v>
      </c>
      <c r="J318" s="4">
        <v>165</v>
      </c>
      <c r="O318" s="5">
        <v>2</v>
      </c>
      <c r="Q318" s="5">
        <v>7</v>
      </c>
      <c r="R318" s="5">
        <v>6</v>
      </c>
      <c r="S318" s="5">
        <v>8</v>
      </c>
      <c r="T318" s="5">
        <v>7</v>
      </c>
      <c r="U318" s="5">
        <v>8</v>
      </c>
      <c r="V318" s="5">
        <v>7</v>
      </c>
      <c r="W318" s="5">
        <v>8</v>
      </c>
      <c r="X318" s="5">
        <v>3</v>
      </c>
      <c r="Y318" s="5">
        <v>2</v>
      </c>
      <c r="AF318" s="7">
        <f t="shared" si="4"/>
        <v>58</v>
      </c>
    </row>
    <row r="319" spans="1:32" ht="15" customHeight="1" x14ac:dyDescent="0.25">
      <c r="A319" t="str">
        <f>IFERROR(_xlfn.XLOOKUP(--F319,[1]imagenes!$D:$D,[1]imagenes!$A:$A),"")</f>
        <v/>
      </c>
      <c r="B319" s="2" t="str">
        <f>"Transito ("&amp;LOWER(INDEX('[1]En Transito'!$B$2:$B$70,MATCH($F319,'[1]En Transito'!$E$2:$E$70,0)))&amp;")"</f>
        <v>Transito (60 dias)</v>
      </c>
      <c r="C319" s="2"/>
      <c r="D319" s="2" t="s">
        <v>134</v>
      </c>
      <c r="E319" s="2" t="s">
        <v>901</v>
      </c>
      <c r="F319" s="2" t="s">
        <v>904</v>
      </c>
      <c r="G319" s="2" t="s">
        <v>905</v>
      </c>
      <c r="H319" s="2" t="s">
        <v>906</v>
      </c>
      <c r="I319" s="3">
        <v>52</v>
      </c>
      <c r="J319" s="4">
        <v>165</v>
      </c>
      <c r="O319" s="5">
        <v>2</v>
      </c>
      <c r="P319" s="5">
        <v>2</v>
      </c>
      <c r="Q319" s="5">
        <v>7</v>
      </c>
      <c r="R319" s="5">
        <v>6</v>
      </c>
      <c r="S319" s="5">
        <v>8</v>
      </c>
      <c r="T319" s="5">
        <v>7</v>
      </c>
      <c r="U319" s="5">
        <v>8</v>
      </c>
      <c r="V319" s="5">
        <v>7</v>
      </c>
      <c r="W319" s="5">
        <v>8</v>
      </c>
      <c r="X319" s="5">
        <v>3</v>
      </c>
      <c r="Y319" s="5">
        <v>2</v>
      </c>
      <c r="AF319" s="7">
        <f t="shared" si="4"/>
        <v>60</v>
      </c>
    </row>
    <row r="320" spans="1:32" ht="15" customHeight="1" x14ac:dyDescent="0.25">
      <c r="A320" t="str">
        <f>IFERROR(_xlfn.XLOOKUP(--F320,[1]imagenes!$D:$D,[1]imagenes!$A:$A),"")</f>
        <v/>
      </c>
      <c r="B320" s="2" t="str">
        <f>"Transito ("&amp;LOWER(INDEX('[1]En Transito'!$B$2:$B$70,MATCH($F320,'[1]En Transito'!$E$2:$E$70,0)))&amp;")"</f>
        <v>Transito (60 dias)</v>
      </c>
      <c r="C320" s="2" t="s">
        <v>332</v>
      </c>
      <c r="D320" s="2" t="s">
        <v>134</v>
      </c>
      <c r="E320" s="2" t="s">
        <v>459</v>
      </c>
      <c r="F320" s="2" t="s">
        <v>460</v>
      </c>
      <c r="G320" s="2" t="s">
        <v>461</v>
      </c>
      <c r="H320" s="2" t="s">
        <v>462</v>
      </c>
      <c r="I320" s="3">
        <v>31.5</v>
      </c>
      <c r="J320" s="4">
        <v>120</v>
      </c>
      <c r="O320" s="5">
        <v>3</v>
      </c>
      <c r="Q320" s="5">
        <v>11</v>
      </c>
      <c r="R320" s="5">
        <v>10</v>
      </c>
      <c r="S320" s="5">
        <v>13</v>
      </c>
      <c r="T320" s="5">
        <v>11</v>
      </c>
      <c r="U320" s="5">
        <v>14</v>
      </c>
      <c r="V320" s="5">
        <v>11</v>
      </c>
      <c r="W320" s="5">
        <v>14</v>
      </c>
      <c r="X320" s="5">
        <v>7</v>
      </c>
      <c r="Y320" s="5">
        <v>5</v>
      </c>
      <c r="AF320" s="7">
        <f t="shared" si="4"/>
        <v>99</v>
      </c>
    </row>
    <row r="321" spans="1:32" ht="15" customHeight="1" x14ac:dyDescent="0.25">
      <c r="A321" t="str">
        <f>IFERROR(_xlfn.XLOOKUP(--F321,[1]imagenes!$D:$D,[1]imagenes!$A:$A),"")</f>
        <v/>
      </c>
      <c r="B321" s="2" t="str">
        <f>"Transito ("&amp;LOWER(INDEX('[1]En Transito'!$B$2:$B$70,MATCH($F321,'[1]En Transito'!$E$2:$E$70,0)))&amp;")"</f>
        <v>Transito (60 dias)</v>
      </c>
      <c r="C321" s="2" t="s">
        <v>332</v>
      </c>
      <c r="D321" s="2" t="s">
        <v>134</v>
      </c>
      <c r="E321" s="2" t="s">
        <v>459</v>
      </c>
      <c r="F321" s="2" t="s">
        <v>463</v>
      </c>
      <c r="G321" s="2" t="s">
        <v>907</v>
      </c>
      <c r="H321" s="2" t="s">
        <v>908</v>
      </c>
      <c r="I321" s="3">
        <v>31.5</v>
      </c>
      <c r="J321" s="4">
        <v>120</v>
      </c>
      <c r="O321" s="5">
        <v>3</v>
      </c>
      <c r="P321" s="5">
        <v>3</v>
      </c>
      <c r="Q321" s="5">
        <v>11</v>
      </c>
      <c r="R321" s="5">
        <v>10</v>
      </c>
      <c r="S321" s="5">
        <v>13</v>
      </c>
      <c r="T321" s="5">
        <v>11</v>
      </c>
      <c r="U321" s="5">
        <v>14</v>
      </c>
      <c r="V321" s="5">
        <v>11</v>
      </c>
      <c r="W321" s="5">
        <v>14</v>
      </c>
      <c r="X321" s="5">
        <v>7</v>
      </c>
      <c r="Y321" s="5">
        <v>5</v>
      </c>
      <c r="AF321" s="7">
        <f t="shared" si="4"/>
        <v>102</v>
      </c>
    </row>
    <row r="322" spans="1:32" ht="15" customHeight="1" x14ac:dyDescent="0.25">
      <c r="A322" t="str">
        <f>IFERROR(_xlfn.XLOOKUP(--F322,[1]imagenes!$D:$D,[1]imagenes!$A:$A),"")</f>
        <v/>
      </c>
      <c r="B322" s="2" t="str">
        <f>"Transito ("&amp;LOWER(INDEX('[1]En Transito'!$B$2:$B$70,MATCH($F322,'[1]En Transito'!$E$2:$E$70,0)))&amp;")"</f>
        <v>Transito (60 dias)</v>
      </c>
      <c r="C322" s="2"/>
      <c r="D322" s="2" t="s">
        <v>134</v>
      </c>
      <c r="E322" s="2" t="s">
        <v>909</v>
      </c>
      <c r="F322" s="2" t="s">
        <v>910</v>
      </c>
      <c r="G322" s="2" t="s">
        <v>911</v>
      </c>
      <c r="H322" s="2" t="s">
        <v>912</v>
      </c>
      <c r="I322" s="3">
        <v>22.5</v>
      </c>
      <c r="J322" s="4">
        <v>80</v>
      </c>
      <c r="O322" s="5">
        <v>5</v>
      </c>
      <c r="Q322" s="5">
        <v>18</v>
      </c>
      <c r="S322" s="5">
        <v>21</v>
      </c>
      <c r="U322" s="5">
        <v>21</v>
      </c>
      <c r="W322" s="5">
        <v>16</v>
      </c>
      <c r="Y322" s="5">
        <v>3</v>
      </c>
      <c r="AF322" s="7">
        <f t="shared" ref="AF322:AF385" si="5">SUM(K322:AD322)</f>
        <v>84</v>
      </c>
    </row>
    <row r="323" spans="1:32" ht="15" customHeight="1" x14ac:dyDescent="0.25">
      <c r="A323" t="str">
        <f>IFERROR(_xlfn.XLOOKUP(--F323,[1]imagenes!$D:$D,[1]imagenes!$A:$A),"")</f>
        <v/>
      </c>
      <c r="B323" s="2" t="str">
        <f>"Transito ("&amp;LOWER(INDEX('[1]En Transito'!$B$2:$B$70,MATCH($F323,'[1]En Transito'!$E$2:$E$70,0)))&amp;")"</f>
        <v>Transito (60 dias)</v>
      </c>
      <c r="C323" s="2"/>
      <c r="D323" s="2" t="s">
        <v>134</v>
      </c>
      <c r="E323" s="2" t="s">
        <v>909</v>
      </c>
      <c r="F323" s="2" t="s">
        <v>913</v>
      </c>
      <c r="G323" s="2" t="s">
        <v>914</v>
      </c>
      <c r="H323" s="2" t="s">
        <v>915</v>
      </c>
      <c r="I323" s="3">
        <v>22.5</v>
      </c>
      <c r="J323" s="4">
        <v>80</v>
      </c>
      <c r="Q323" s="5">
        <v>18</v>
      </c>
      <c r="S323" s="5">
        <v>21</v>
      </c>
      <c r="U323" s="5">
        <v>21</v>
      </c>
      <c r="W323" s="5">
        <v>16</v>
      </c>
      <c r="Y323" s="5">
        <v>3</v>
      </c>
      <c r="AF323" s="7">
        <f t="shared" si="5"/>
        <v>79</v>
      </c>
    </row>
    <row r="324" spans="1:32" ht="15" customHeight="1" x14ac:dyDescent="0.25">
      <c r="A324" t="str">
        <f>IFERROR(_xlfn.XLOOKUP(--F324,[1]imagenes!$D:$D,[1]imagenes!$A:$A),"")</f>
        <v/>
      </c>
      <c r="B324" s="2" t="str">
        <f>"Transito ("&amp;LOWER(INDEX('[1]En Transito'!$B$2:$B$70,MATCH($F324,'[1]En Transito'!$E$2:$E$70,0)))&amp;")"</f>
        <v>Transito (60 dias)</v>
      </c>
      <c r="C324" s="2"/>
      <c r="D324" s="2" t="s">
        <v>134</v>
      </c>
      <c r="E324" s="2" t="s">
        <v>295</v>
      </c>
      <c r="F324" s="2" t="s">
        <v>916</v>
      </c>
      <c r="G324" s="2" t="s">
        <v>917</v>
      </c>
      <c r="H324" s="2" t="s">
        <v>69</v>
      </c>
      <c r="I324" s="3">
        <v>35</v>
      </c>
      <c r="J324" s="4">
        <v>150</v>
      </c>
      <c r="O324" s="5">
        <v>3</v>
      </c>
      <c r="P324" s="5">
        <v>3</v>
      </c>
      <c r="Q324" s="5">
        <v>4</v>
      </c>
      <c r="R324" s="5">
        <v>4</v>
      </c>
      <c r="U324" s="5">
        <v>14</v>
      </c>
      <c r="V324" s="5">
        <v>11</v>
      </c>
      <c r="W324" s="5">
        <v>14</v>
      </c>
      <c r="X324" s="5">
        <v>7</v>
      </c>
      <c r="Y324" s="5">
        <v>5</v>
      </c>
      <c r="AF324" s="7">
        <f t="shared" si="5"/>
        <v>65</v>
      </c>
    </row>
    <row r="325" spans="1:32" ht="15" customHeight="1" x14ac:dyDescent="0.25">
      <c r="A325" t="str">
        <f>IFERROR(_xlfn.XLOOKUP(--F325,[1]imagenes!$D:$D,[1]imagenes!$A:$A),"")</f>
        <v/>
      </c>
      <c r="B325" s="2" t="str">
        <f>"Transito ("&amp;LOWER(INDEX('[1]En Transito'!$B$2:$B$70,MATCH($F325,'[1]En Transito'!$E$2:$E$70,0)))&amp;")"</f>
        <v>Transito (60 dias)</v>
      </c>
      <c r="C325" s="2"/>
      <c r="D325" s="2" t="s">
        <v>134</v>
      </c>
      <c r="E325" s="2" t="s">
        <v>295</v>
      </c>
      <c r="F325" s="2" t="s">
        <v>918</v>
      </c>
      <c r="G325" s="2" t="s">
        <v>919</v>
      </c>
      <c r="H325" s="2" t="s">
        <v>920</v>
      </c>
      <c r="I325" s="3">
        <v>35</v>
      </c>
      <c r="J325" s="4">
        <v>150</v>
      </c>
      <c r="O325" s="5">
        <v>3</v>
      </c>
      <c r="Q325" s="5">
        <v>11</v>
      </c>
      <c r="S325" s="5">
        <v>13</v>
      </c>
      <c r="T325" s="5">
        <v>11</v>
      </c>
      <c r="U325" s="5">
        <v>14</v>
      </c>
      <c r="V325" s="5">
        <v>11</v>
      </c>
      <c r="W325" s="5">
        <v>14</v>
      </c>
      <c r="X325" s="5">
        <v>7</v>
      </c>
      <c r="Y325" s="5">
        <v>5</v>
      </c>
      <c r="AF325" s="7">
        <f t="shared" si="5"/>
        <v>89</v>
      </c>
    </row>
    <row r="326" spans="1:32" ht="15" customHeight="1" x14ac:dyDescent="0.25">
      <c r="A326" t="str">
        <f>IFERROR(_xlfn.XLOOKUP(--F326,[1]imagenes!$D:$D,[1]imagenes!$A:$A),"")</f>
        <v/>
      </c>
      <c r="B326" s="2" t="str">
        <f>"Transito ("&amp;LOWER(INDEX('[1]En Transito'!$B$2:$B$70,MATCH($F326,'[1]En Transito'!$E$2:$E$70,0)))&amp;")"</f>
        <v>Transito (60 dias)</v>
      </c>
      <c r="C326" s="2"/>
      <c r="D326" s="2" t="s">
        <v>134</v>
      </c>
      <c r="E326" s="2" t="s">
        <v>921</v>
      </c>
      <c r="F326" s="2" t="s">
        <v>922</v>
      </c>
      <c r="G326" s="2" t="s">
        <v>923</v>
      </c>
      <c r="H326" s="2" t="s">
        <v>116</v>
      </c>
      <c r="I326" s="3">
        <v>45</v>
      </c>
      <c r="J326" s="4">
        <v>140</v>
      </c>
      <c r="P326" s="5">
        <v>2</v>
      </c>
      <c r="Q326" s="5">
        <v>7</v>
      </c>
      <c r="R326" s="5">
        <v>6</v>
      </c>
      <c r="S326" s="5">
        <v>8</v>
      </c>
      <c r="T326" s="5">
        <v>7</v>
      </c>
      <c r="U326" s="5">
        <v>8</v>
      </c>
      <c r="V326" s="5">
        <v>7</v>
      </c>
      <c r="W326" s="5">
        <v>8</v>
      </c>
      <c r="X326" s="5">
        <v>3</v>
      </c>
      <c r="Y326" s="5">
        <v>2</v>
      </c>
      <c r="AF326" s="7">
        <f t="shared" si="5"/>
        <v>58</v>
      </c>
    </row>
    <row r="327" spans="1:32" ht="15" customHeight="1" x14ac:dyDescent="0.25">
      <c r="A327" t="str">
        <f>IFERROR(_xlfn.XLOOKUP(--F327,[1]imagenes!$D:$D,[1]imagenes!$A:$A),"")</f>
        <v/>
      </c>
      <c r="B327" s="2" t="str">
        <f>"Transito ("&amp;LOWER(INDEX('[1]En Transito'!$B$2:$B$70,MATCH($F327,'[1]En Transito'!$E$2:$E$70,0)))&amp;")"</f>
        <v>Transito (60 dias)</v>
      </c>
      <c r="C327" s="2" t="s">
        <v>332</v>
      </c>
      <c r="D327" s="2" t="s">
        <v>134</v>
      </c>
      <c r="E327" s="2" t="s">
        <v>471</v>
      </c>
      <c r="F327" s="2" t="s">
        <v>472</v>
      </c>
      <c r="G327" s="2" t="s">
        <v>473</v>
      </c>
      <c r="H327" s="2" t="s">
        <v>474</v>
      </c>
      <c r="I327" s="3">
        <v>31.5</v>
      </c>
      <c r="J327" s="4">
        <v>120</v>
      </c>
      <c r="O327" s="5">
        <v>2</v>
      </c>
      <c r="P327" s="5">
        <v>3</v>
      </c>
      <c r="S327" s="5">
        <v>11</v>
      </c>
      <c r="T327" s="5">
        <v>10</v>
      </c>
      <c r="U327" s="5">
        <v>11</v>
      </c>
      <c r="V327" s="5">
        <v>10</v>
      </c>
      <c r="W327" s="5">
        <v>11</v>
      </c>
      <c r="X327" s="5">
        <v>5</v>
      </c>
      <c r="Y327" s="5">
        <v>3</v>
      </c>
      <c r="AF327" s="7">
        <f t="shared" si="5"/>
        <v>66</v>
      </c>
    </row>
    <row r="328" spans="1:32" ht="15" customHeight="1" x14ac:dyDescent="0.25">
      <c r="A328" t="str">
        <f>IFERROR(_xlfn.XLOOKUP(--F328,[1]imagenes!$D:$D,[1]imagenes!$A:$A),"")</f>
        <v/>
      </c>
      <c r="B328" s="2" t="str">
        <f>"Transito ("&amp;LOWER(INDEX('[1]En Transito'!$B$2:$B$70,MATCH($F328,'[1]En Transito'!$E$2:$E$70,0)))&amp;")"</f>
        <v>Transito (60 dias)</v>
      </c>
      <c r="C328" s="2" t="s">
        <v>332</v>
      </c>
      <c r="D328" s="2" t="s">
        <v>134</v>
      </c>
      <c r="E328" s="2" t="s">
        <v>471</v>
      </c>
      <c r="F328" s="2" t="s">
        <v>475</v>
      </c>
      <c r="G328" s="2" t="s">
        <v>476</v>
      </c>
      <c r="H328" s="2" t="s">
        <v>477</v>
      </c>
      <c r="I328" s="3">
        <v>31.5</v>
      </c>
      <c r="J328" s="4">
        <v>120</v>
      </c>
      <c r="P328" s="5">
        <v>3</v>
      </c>
      <c r="Q328" s="5">
        <v>9</v>
      </c>
      <c r="R328" s="5">
        <v>9</v>
      </c>
      <c r="S328" s="5">
        <v>11</v>
      </c>
      <c r="T328" s="5">
        <v>10</v>
      </c>
      <c r="U328" s="5">
        <v>11</v>
      </c>
      <c r="V328" s="5">
        <v>10</v>
      </c>
      <c r="W328" s="5">
        <v>11</v>
      </c>
      <c r="X328" s="5">
        <v>5</v>
      </c>
      <c r="Y328" s="5">
        <v>3</v>
      </c>
      <c r="AF328" s="7">
        <f t="shared" si="5"/>
        <v>82</v>
      </c>
    </row>
    <row r="329" spans="1:32" ht="15" customHeight="1" x14ac:dyDescent="0.25">
      <c r="A329" t="str">
        <f>IFERROR(_xlfn.XLOOKUP(--F329,[1]imagenes!$D:$D,[1]imagenes!$A:$A),"")</f>
        <v/>
      </c>
      <c r="B329" s="2" t="str">
        <f>"Transito ("&amp;LOWER(INDEX('[1]En Transito'!$B$2:$B$70,MATCH($F329,'[1]En Transito'!$E$2:$E$70,0)))&amp;")"</f>
        <v>Transito (60 dias)</v>
      </c>
      <c r="C329" s="2"/>
      <c r="D329" s="2" t="s">
        <v>34</v>
      </c>
      <c r="E329" s="2" t="s">
        <v>337</v>
      </c>
      <c r="F329" s="2" t="s">
        <v>924</v>
      </c>
      <c r="G329" s="2" t="s">
        <v>925</v>
      </c>
      <c r="H329" s="2" t="s">
        <v>360</v>
      </c>
      <c r="I329" s="3">
        <v>33.5</v>
      </c>
      <c r="J329" s="4">
        <v>120</v>
      </c>
      <c r="T329" s="5">
        <v>3</v>
      </c>
      <c r="U329" s="5">
        <v>11</v>
      </c>
      <c r="V329" s="5">
        <v>25</v>
      </c>
      <c r="W329" s="5">
        <v>27</v>
      </c>
      <c r="X329" s="5">
        <v>6</v>
      </c>
      <c r="Y329" s="5">
        <v>51</v>
      </c>
      <c r="Z329" s="5">
        <v>15</v>
      </c>
      <c r="AA329" s="5">
        <v>32</v>
      </c>
      <c r="AB329" s="5">
        <v>28</v>
      </c>
      <c r="AC329" s="5">
        <v>14</v>
      </c>
      <c r="AF329" s="7">
        <f t="shared" si="5"/>
        <v>212</v>
      </c>
    </row>
    <row r="330" spans="1:32" ht="15" customHeight="1" x14ac:dyDescent="0.25">
      <c r="A330" t="str">
        <f>IFERROR(_xlfn.XLOOKUP(--F330,[1]imagenes!$D:$D,[1]imagenes!$A:$A),"")</f>
        <v/>
      </c>
      <c r="B330" s="2" t="str">
        <f>"Transito ("&amp;LOWER(INDEX('[1]En Transito'!$B$2:$B$70,MATCH($F330,'[1]En Transito'!$E$2:$E$70,0)))&amp;")"</f>
        <v>Transito (60 dias)</v>
      </c>
      <c r="C330" s="2" t="s">
        <v>332</v>
      </c>
      <c r="D330" s="2" t="s">
        <v>34</v>
      </c>
      <c r="E330" s="2" t="s">
        <v>337</v>
      </c>
      <c r="F330" s="2" t="s">
        <v>338</v>
      </c>
      <c r="G330" s="2" t="s">
        <v>339</v>
      </c>
      <c r="H330" s="2" t="s">
        <v>340</v>
      </c>
      <c r="I330" s="3">
        <v>33.5</v>
      </c>
      <c r="J330" s="4">
        <v>120</v>
      </c>
      <c r="S330" s="5">
        <v>3</v>
      </c>
      <c r="T330" s="5">
        <v>5</v>
      </c>
      <c r="U330" s="5">
        <v>11</v>
      </c>
      <c r="V330" s="5">
        <v>13</v>
      </c>
      <c r="W330" s="5">
        <v>15</v>
      </c>
      <c r="X330" s="5">
        <v>13</v>
      </c>
      <c r="Y330" s="5">
        <v>15</v>
      </c>
      <c r="Z330" s="5">
        <v>13</v>
      </c>
      <c r="AA330" s="5">
        <v>8</v>
      </c>
      <c r="AB330" s="5">
        <v>4</v>
      </c>
      <c r="AC330" s="5">
        <v>2</v>
      </c>
      <c r="AF330" s="7">
        <f t="shared" si="5"/>
        <v>102</v>
      </c>
    </row>
    <row r="331" spans="1:32" ht="15" customHeight="1" x14ac:dyDescent="0.25">
      <c r="A331" t="str">
        <f>IFERROR(_xlfn.XLOOKUP(--F331,[1]imagenes!$D:$D,[1]imagenes!$A:$A),"")</f>
        <v/>
      </c>
      <c r="B331" s="2" t="str">
        <f>"Transito ("&amp;LOWER(INDEX('[1]En Transito'!$B$2:$B$70,MATCH($F331,'[1]En Transito'!$E$2:$E$70,0)))&amp;")"</f>
        <v>Transito (60 dias)</v>
      </c>
      <c r="C331" s="2" t="s">
        <v>332</v>
      </c>
      <c r="D331" s="2" t="s">
        <v>34</v>
      </c>
      <c r="E331" s="2" t="s">
        <v>337</v>
      </c>
      <c r="F331" s="2" t="s">
        <v>341</v>
      </c>
      <c r="G331" s="2" t="s">
        <v>342</v>
      </c>
      <c r="H331" s="2" t="s">
        <v>343</v>
      </c>
      <c r="I331" s="3">
        <v>33.5</v>
      </c>
      <c r="J331" s="4">
        <v>120</v>
      </c>
      <c r="S331" s="5">
        <v>3</v>
      </c>
      <c r="U331" s="5">
        <v>11</v>
      </c>
      <c r="V331" s="5">
        <v>13</v>
      </c>
      <c r="W331" s="5">
        <v>15</v>
      </c>
      <c r="X331" s="5">
        <v>13</v>
      </c>
      <c r="Y331" s="5">
        <v>15</v>
      </c>
      <c r="Z331" s="5">
        <v>13</v>
      </c>
      <c r="AA331" s="5">
        <v>8</v>
      </c>
      <c r="AB331" s="5">
        <v>4</v>
      </c>
      <c r="AC331" s="5">
        <v>2</v>
      </c>
      <c r="AF331" s="7">
        <f t="shared" si="5"/>
        <v>97</v>
      </c>
    </row>
    <row r="332" spans="1:32" ht="15" customHeight="1" x14ac:dyDescent="0.25">
      <c r="A332" t="str">
        <f>IFERROR(_xlfn.XLOOKUP(--F332,[1]imagenes!$D:$D,[1]imagenes!$A:$A),"")</f>
        <v/>
      </c>
      <c r="B332" s="2" t="str">
        <f>"Transito ("&amp;LOWER(INDEX('[1]En Transito'!$B$2:$B$70,MATCH($F332,'[1]En Transito'!$E$2:$E$70,0)))&amp;")"</f>
        <v>Transito (60 dias)</v>
      </c>
      <c r="C332" s="2" t="s">
        <v>332</v>
      </c>
      <c r="D332" s="2" t="s">
        <v>34</v>
      </c>
      <c r="E332" s="2" t="s">
        <v>337</v>
      </c>
      <c r="F332" s="2" t="s">
        <v>346</v>
      </c>
      <c r="G332" s="2" t="s">
        <v>347</v>
      </c>
      <c r="H332" s="2" t="s">
        <v>265</v>
      </c>
      <c r="I332" s="3">
        <v>33.5</v>
      </c>
      <c r="J332" s="4">
        <v>120</v>
      </c>
      <c r="S332" s="5">
        <v>3</v>
      </c>
      <c r="T332" s="5">
        <v>5</v>
      </c>
      <c r="U332" s="5">
        <v>11</v>
      </c>
      <c r="V332" s="5">
        <v>13</v>
      </c>
      <c r="W332" s="5">
        <v>15</v>
      </c>
      <c r="X332" s="5">
        <v>13</v>
      </c>
      <c r="Y332" s="5">
        <v>15</v>
      </c>
      <c r="Z332" s="5">
        <v>13</v>
      </c>
      <c r="AA332" s="5">
        <v>8</v>
      </c>
      <c r="AB332" s="5">
        <v>4</v>
      </c>
      <c r="AC332" s="5">
        <v>2</v>
      </c>
      <c r="AF332" s="7">
        <f t="shared" si="5"/>
        <v>102</v>
      </c>
    </row>
    <row r="333" spans="1:32" ht="15" customHeight="1" x14ac:dyDescent="0.25">
      <c r="A333" t="str">
        <f>IFERROR(_xlfn.XLOOKUP(--F333,[1]imagenes!$D:$D,[1]imagenes!$A:$A),"")</f>
        <v/>
      </c>
      <c r="B333" s="2" t="str">
        <f>"Transito ("&amp;LOWER(INDEX('[1]En Transito'!$B$2:$B$70,MATCH($F333,'[1]En Transito'!$E$2:$E$70,0)))&amp;")"</f>
        <v>Transito (60 dias)</v>
      </c>
      <c r="C333" s="2"/>
      <c r="D333" s="2" t="s">
        <v>34</v>
      </c>
      <c r="E333" s="2" t="s">
        <v>59</v>
      </c>
      <c r="F333" s="2" t="s">
        <v>926</v>
      </c>
      <c r="G333" s="2" t="s">
        <v>927</v>
      </c>
      <c r="H333" s="2" t="s">
        <v>122</v>
      </c>
      <c r="I333" s="3">
        <v>35.5</v>
      </c>
      <c r="J333" s="4">
        <v>140</v>
      </c>
      <c r="S333" s="5">
        <v>3</v>
      </c>
      <c r="T333" s="5">
        <v>5</v>
      </c>
      <c r="U333" s="5">
        <v>11</v>
      </c>
      <c r="V333" s="5">
        <v>13</v>
      </c>
      <c r="W333" s="5">
        <v>15</v>
      </c>
      <c r="X333" s="5">
        <v>13</v>
      </c>
      <c r="Y333" s="5">
        <v>15</v>
      </c>
      <c r="Z333" s="5">
        <v>13</v>
      </c>
      <c r="AA333" s="5">
        <v>8</v>
      </c>
      <c r="AB333" s="5">
        <v>4</v>
      </c>
      <c r="AC333" s="5">
        <v>2</v>
      </c>
      <c r="AF333" s="7">
        <f t="shared" si="5"/>
        <v>102</v>
      </c>
    </row>
    <row r="334" spans="1:32" ht="15" customHeight="1" x14ac:dyDescent="0.25">
      <c r="A334" t="str">
        <f>IFERROR(_xlfn.XLOOKUP(--F334,[1]imagenes!$D:$D,[1]imagenes!$A:$A),"")</f>
        <v/>
      </c>
      <c r="B334" s="2" t="str">
        <f>"Transito ("&amp;LOWER(INDEX('[1]En Transito'!$B$2:$B$70,MATCH($F334,'[1]En Transito'!$E$2:$E$70,0)))&amp;")"</f>
        <v>Transito (60 dias)</v>
      </c>
      <c r="C334" s="2"/>
      <c r="D334" s="2" t="s">
        <v>34</v>
      </c>
      <c r="E334" s="2" t="s">
        <v>73</v>
      </c>
      <c r="F334" s="2" t="s">
        <v>928</v>
      </c>
      <c r="G334" s="2" t="s">
        <v>929</v>
      </c>
      <c r="H334" s="2" t="s">
        <v>930</v>
      </c>
      <c r="I334" s="3">
        <v>48</v>
      </c>
      <c r="J334" s="4">
        <v>150</v>
      </c>
      <c r="S334" s="5">
        <v>3</v>
      </c>
      <c r="U334" s="5">
        <v>10</v>
      </c>
      <c r="V334" s="5">
        <v>11</v>
      </c>
      <c r="W334" s="5">
        <v>12</v>
      </c>
      <c r="X334" s="5">
        <v>10</v>
      </c>
      <c r="Y334" s="5">
        <v>12</v>
      </c>
      <c r="Z334" s="5">
        <v>10</v>
      </c>
      <c r="AA334" s="5">
        <v>7</v>
      </c>
      <c r="AB334" s="5">
        <v>3</v>
      </c>
      <c r="AC334" s="5">
        <v>2</v>
      </c>
      <c r="AF334" s="7">
        <f t="shared" si="5"/>
        <v>80</v>
      </c>
    </row>
    <row r="335" spans="1:32" ht="15" customHeight="1" x14ac:dyDescent="0.25">
      <c r="A335" t="str">
        <f>IFERROR(_xlfn.XLOOKUP(--F335,[1]imagenes!$D:$D,[1]imagenes!$A:$A),"")</f>
        <v/>
      </c>
      <c r="B335" s="2" t="str">
        <f>"Transito ("&amp;LOWER(INDEX('[1]En Transito'!$B$2:$B$70,MATCH($F335,'[1]En Transito'!$E$2:$E$70,0)))&amp;")"</f>
        <v>Transito (60 dias)</v>
      </c>
      <c r="C335" s="2" t="s">
        <v>33</v>
      </c>
      <c r="D335" s="2" t="s">
        <v>34</v>
      </c>
      <c r="E335" s="2" t="s">
        <v>73</v>
      </c>
      <c r="F335" s="2" t="s">
        <v>74</v>
      </c>
      <c r="G335" s="2" t="s">
        <v>75</v>
      </c>
      <c r="H335" s="2" t="s">
        <v>76</v>
      </c>
      <c r="I335" s="3">
        <v>48</v>
      </c>
      <c r="J335" s="4">
        <v>150</v>
      </c>
      <c r="S335" s="5">
        <v>3</v>
      </c>
      <c r="T335" s="5">
        <v>4</v>
      </c>
      <c r="U335" s="5">
        <v>10</v>
      </c>
      <c r="V335" s="5">
        <v>11</v>
      </c>
      <c r="W335" s="5">
        <v>12</v>
      </c>
      <c r="X335" s="5">
        <v>10</v>
      </c>
      <c r="Y335" s="5">
        <v>12</v>
      </c>
      <c r="Z335" s="5">
        <v>10</v>
      </c>
      <c r="AA335" s="5">
        <v>7</v>
      </c>
      <c r="AB335" s="5">
        <v>3</v>
      </c>
      <c r="AC335" s="5">
        <v>2</v>
      </c>
      <c r="AF335" s="7">
        <f t="shared" si="5"/>
        <v>84</v>
      </c>
    </row>
    <row r="336" spans="1:32" ht="15" customHeight="1" x14ac:dyDescent="0.25">
      <c r="A336" t="str">
        <f>IFERROR(_xlfn.XLOOKUP(--F336,[1]imagenes!$D:$D,[1]imagenes!$A:$A),"")</f>
        <v/>
      </c>
      <c r="B336" s="2" t="str">
        <f>"Transito ("&amp;LOWER(INDEX('[1]En Transito'!$B$2:$B$70,MATCH($F336,'[1]En Transito'!$E$2:$E$70,0)))&amp;")"</f>
        <v>Transito (60 dias)</v>
      </c>
      <c r="C336" s="2" t="s">
        <v>33</v>
      </c>
      <c r="D336" s="2" t="s">
        <v>34</v>
      </c>
      <c r="E336" s="2" t="s">
        <v>73</v>
      </c>
      <c r="F336" s="2" t="s">
        <v>77</v>
      </c>
      <c r="G336" s="2" t="s">
        <v>78</v>
      </c>
      <c r="H336" s="2" t="s">
        <v>79</v>
      </c>
      <c r="I336" s="3">
        <v>48</v>
      </c>
      <c r="J336" s="4">
        <v>150</v>
      </c>
      <c r="S336" s="5">
        <v>3</v>
      </c>
      <c r="T336" s="5">
        <v>4</v>
      </c>
      <c r="U336" s="5">
        <v>10</v>
      </c>
      <c r="V336" s="5">
        <v>11</v>
      </c>
      <c r="W336" s="5">
        <v>12</v>
      </c>
      <c r="X336" s="5">
        <v>10</v>
      </c>
      <c r="Y336" s="5">
        <v>12</v>
      </c>
      <c r="Z336" s="5">
        <v>10</v>
      </c>
      <c r="AA336" s="5">
        <v>7</v>
      </c>
      <c r="AB336" s="5">
        <v>3</v>
      </c>
      <c r="AC336" s="5">
        <v>2</v>
      </c>
      <c r="AF336" s="7">
        <f t="shared" si="5"/>
        <v>84</v>
      </c>
    </row>
    <row r="337" spans="1:32" ht="15" customHeight="1" x14ac:dyDescent="0.25">
      <c r="A337" t="str">
        <f>IFERROR(_xlfn.XLOOKUP(--F337,[1]imagenes!$D:$D,[1]imagenes!$A:$A),"")</f>
        <v/>
      </c>
      <c r="B337" s="2" t="str">
        <f>"Transito ("&amp;LOWER(INDEX('[1]En Transito'!$B$2:$B$70,MATCH($F337,'[1]En Transito'!$E$2:$E$70,0)))&amp;")"</f>
        <v>Transito (60 dias)</v>
      </c>
      <c r="C337" s="2" t="s">
        <v>33</v>
      </c>
      <c r="D337" s="2" t="s">
        <v>34</v>
      </c>
      <c r="E337" s="2" t="s">
        <v>100</v>
      </c>
      <c r="F337" s="2" t="s">
        <v>101</v>
      </c>
      <c r="G337" s="2" t="s">
        <v>102</v>
      </c>
      <c r="H337" s="2" t="s">
        <v>103</v>
      </c>
      <c r="I337" s="3">
        <v>33</v>
      </c>
      <c r="J337" s="4">
        <v>115</v>
      </c>
      <c r="S337" s="5">
        <v>3</v>
      </c>
      <c r="T337" s="5">
        <v>4</v>
      </c>
      <c r="U337" s="5">
        <v>10</v>
      </c>
      <c r="V337" s="5">
        <v>11</v>
      </c>
      <c r="W337" s="5">
        <v>12</v>
      </c>
      <c r="X337" s="5">
        <v>10</v>
      </c>
      <c r="Y337" s="5">
        <v>12</v>
      </c>
      <c r="Z337" s="5">
        <v>10</v>
      </c>
      <c r="AA337" s="5">
        <v>7</v>
      </c>
      <c r="AB337" s="5">
        <v>3</v>
      </c>
      <c r="AC337" s="5">
        <v>2</v>
      </c>
      <c r="AF337" s="7">
        <f t="shared" si="5"/>
        <v>84</v>
      </c>
    </row>
    <row r="338" spans="1:32" ht="15" customHeight="1" x14ac:dyDescent="0.25">
      <c r="A338" t="str">
        <f>IFERROR(_xlfn.XLOOKUP(--F338,[1]imagenes!$D:$D,[1]imagenes!$A:$A),"")</f>
        <v/>
      </c>
      <c r="B338" s="2" t="str">
        <f>"Transito ("&amp;LOWER(INDEX('[1]En Transito'!$B$2:$B$70,MATCH($F338,'[1]En Transito'!$E$2:$E$70,0)))&amp;")"</f>
        <v>Transito (60 dias)</v>
      </c>
      <c r="C338" s="2" t="s">
        <v>33</v>
      </c>
      <c r="D338" s="2" t="s">
        <v>34</v>
      </c>
      <c r="E338" s="2" t="s">
        <v>100</v>
      </c>
      <c r="F338" s="2" t="s">
        <v>104</v>
      </c>
      <c r="G338" s="2" t="s">
        <v>105</v>
      </c>
      <c r="H338" s="2" t="s">
        <v>106</v>
      </c>
      <c r="I338" s="3">
        <v>33</v>
      </c>
      <c r="J338" s="4">
        <v>115</v>
      </c>
      <c r="S338" s="5">
        <v>2</v>
      </c>
      <c r="T338" s="5">
        <v>4</v>
      </c>
      <c r="U338" s="5">
        <v>10</v>
      </c>
      <c r="V338" s="5">
        <v>11</v>
      </c>
      <c r="W338" s="5">
        <v>12</v>
      </c>
      <c r="X338" s="5">
        <v>10</v>
      </c>
      <c r="Y338" s="5">
        <v>12</v>
      </c>
      <c r="Z338" s="5">
        <v>10</v>
      </c>
      <c r="AA338" s="5">
        <v>7</v>
      </c>
      <c r="AB338" s="5">
        <v>3</v>
      </c>
      <c r="AC338" s="5">
        <v>2</v>
      </c>
      <c r="AF338" s="7">
        <f t="shared" si="5"/>
        <v>83</v>
      </c>
    </row>
    <row r="339" spans="1:32" ht="15" customHeight="1" x14ac:dyDescent="0.25">
      <c r="A339" t="str">
        <f>IFERROR(_xlfn.XLOOKUP(--F339,[1]imagenes!$D:$D,[1]imagenes!$A:$A),"")</f>
        <v/>
      </c>
      <c r="B339" s="2" t="str">
        <f>"Transito ("&amp;LOWER(INDEX('[1]En Transito'!$B$2:$B$70,MATCH($F339,'[1]En Transito'!$E$2:$E$70,0)))&amp;")"</f>
        <v>Transito (60 dias)</v>
      </c>
      <c r="C339" s="2" t="s">
        <v>33</v>
      </c>
      <c r="D339" s="2" t="s">
        <v>34</v>
      </c>
      <c r="E339" s="2" t="s">
        <v>100</v>
      </c>
      <c r="F339" s="2" t="s">
        <v>107</v>
      </c>
      <c r="G339" s="2" t="s">
        <v>108</v>
      </c>
      <c r="H339" s="2" t="s">
        <v>109</v>
      </c>
      <c r="I339" s="3">
        <v>33</v>
      </c>
      <c r="J339" s="4">
        <v>115</v>
      </c>
      <c r="S339" s="5">
        <v>3</v>
      </c>
      <c r="T339" s="5">
        <v>4</v>
      </c>
      <c r="U339" s="5">
        <v>10</v>
      </c>
      <c r="V339" s="5">
        <v>11</v>
      </c>
      <c r="W339" s="5">
        <v>12</v>
      </c>
      <c r="X339" s="5">
        <v>10</v>
      </c>
      <c r="Y339" s="5">
        <v>12</v>
      </c>
      <c r="Z339" s="5">
        <v>10</v>
      </c>
      <c r="AA339" s="5">
        <v>7</v>
      </c>
      <c r="AB339" s="5">
        <v>3</v>
      </c>
      <c r="AC339" s="5">
        <v>2</v>
      </c>
      <c r="AF339" s="7">
        <f t="shared" si="5"/>
        <v>84</v>
      </c>
    </row>
    <row r="340" spans="1:32" ht="15" customHeight="1" x14ac:dyDescent="0.25">
      <c r="A340" t="str">
        <f>IFERROR(_xlfn.XLOOKUP(--F340,[1]imagenes!$D:$D,[1]imagenes!$A:$A),"")</f>
        <v/>
      </c>
      <c r="B340" s="2" t="str">
        <f>"Transito ("&amp;LOWER(INDEX('[1]En Transito'!$B$2:$B$70,MATCH($F340,'[1]En Transito'!$E$2:$E$70,0)))&amp;")"</f>
        <v>Transito (60 dias)</v>
      </c>
      <c r="C340" s="2" t="s">
        <v>332</v>
      </c>
      <c r="D340" s="2" t="s">
        <v>34</v>
      </c>
      <c r="E340" s="2" t="s">
        <v>364</v>
      </c>
      <c r="F340" s="2" t="s">
        <v>365</v>
      </c>
      <c r="G340" s="2" t="s">
        <v>366</v>
      </c>
      <c r="H340" s="2" t="s">
        <v>171</v>
      </c>
      <c r="I340" s="3">
        <v>40</v>
      </c>
      <c r="J340" s="4">
        <v>135</v>
      </c>
      <c r="S340" s="5">
        <v>2</v>
      </c>
      <c r="T340" s="5">
        <v>3</v>
      </c>
      <c r="U340" s="5">
        <v>7</v>
      </c>
      <c r="V340" s="5">
        <v>8</v>
      </c>
      <c r="W340" s="5">
        <v>9</v>
      </c>
      <c r="X340" s="5">
        <v>7</v>
      </c>
      <c r="Y340" s="5">
        <v>9</v>
      </c>
      <c r="Z340" s="5">
        <v>7</v>
      </c>
      <c r="AA340" s="5">
        <v>4</v>
      </c>
      <c r="AB340" s="5">
        <v>2</v>
      </c>
      <c r="AC340" s="5">
        <v>2</v>
      </c>
      <c r="AF340" s="7">
        <f t="shared" si="5"/>
        <v>60</v>
      </c>
    </row>
    <row r="341" spans="1:32" ht="15" customHeight="1" x14ac:dyDescent="0.25">
      <c r="A341" t="str">
        <f>IFERROR(_xlfn.XLOOKUP(--F341,[1]imagenes!$D:$D,[1]imagenes!$A:$A),"")</f>
        <v/>
      </c>
      <c r="B341" s="2" t="str">
        <f>"Transito ("&amp;LOWER(INDEX('[1]En Transito'!$B$2:$B$70,MATCH($F341,'[1]En Transito'!$E$2:$E$70,0)))&amp;")"</f>
        <v>Transito (60 dias)</v>
      </c>
      <c r="C341" s="2" t="s">
        <v>332</v>
      </c>
      <c r="D341" s="2" t="s">
        <v>34</v>
      </c>
      <c r="E341" s="2" t="s">
        <v>367</v>
      </c>
      <c r="F341" s="2" t="s">
        <v>368</v>
      </c>
      <c r="G341" s="2" t="s">
        <v>369</v>
      </c>
      <c r="H341" s="2" t="s">
        <v>113</v>
      </c>
      <c r="I341" s="3">
        <v>34.5</v>
      </c>
      <c r="J341" s="4">
        <v>130</v>
      </c>
      <c r="S341" s="5">
        <v>3</v>
      </c>
      <c r="T341" s="5">
        <v>5</v>
      </c>
      <c r="U341" s="5">
        <v>11</v>
      </c>
      <c r="V341" s="5">
        <v>13</v>
      </c>
      <c r="W341" s="5">
        <v>15</v>
      </c>
      <c r="X341" s="5">
        <v>13</v>
      </c>
      <c r="Y341" s="5">
        <v>15</v>
      </c>
      <c r="Z341" s="5">
        <v>13</v>
      </c>
      <c r="AA341" s="5">
        <v>8</v>
      </c>
      <c r="AB341" s="5">
        <v>4</v>
      </c>
      <c r="AC341" s="5">
        <v>2</v>
      </c>
      <c r="AF341" s="7">
        <f t="shared" si="5"/>
        <v>102</v>
      </c>
    </row>
    <row r="342" spans="1:32" ht="15" customHeight="1" x14ac:dyDescent="0.25">
      <c r="A342" t="str">
        <f>IFERROR(_xlfn.XLOOKUP(--F342,[1]imagenes!$D:$D,[1]imagenes!$A:$A),"")</f>
        <v/>
      </c>
      <c r="B342" s="2" t="str">
        <f>"Transito ("&amp;LOWER(INDEX('[1]En Transito'!$B$2:$B$70,MATCH($F342,'[1]En Transito'!$E$2:$E$70,0)))&amp;")"</f>
        <v>Transito (60 dias)</v>
      </c>
      <c r="C342" s="2" t="s">
        <v>332</v>
      </c>
      <c r="D342" s="2" t="s">
        <v>34</v>
      </c>
      <c r="E342" s="2" t="s">
        <v>367</v>
      </c>
      <c r="F342" s="2" t="s">
        <v>370</v>
      </c>
      <c r="G342" s="2" t="s">
        <v>371</v>
      </c>
      <c r="H342" s="2" t="s">
        <v>372</v>
      </c>
      <c r="I342" s="3">
        <v>34.5</v>
      </c>
      <c r="J342" s="4">
        <v>130</v>
      </c>
      <c r="S342" s="5">
        <v>3</v>
      </c>
      <c r="T342" s="5">
        <v>5</v>
      </c>
      <c r="U342" s="5">
        <v>11</v>
      </c>
      <c r="V342" s="5">
        <v>13</v>
      </c>
      <c r="W342" s="5">
        <v>15</v>
      </c>
      <c r="X342" s="5">
        <v>13</v>
      </c>
      <c r="Y342" s="5">
        <v>15</v>
      </c>
      <c r="Z342" s="5">
        <v>13</v>
      </c>
      <c r="AA342" s="5">
        <v>8</v>
      </c>
      <c r="AB342" s="5">
        <v>4</v>
      </c>
      <c r="AC342" s="5">
        <v>2</v>
      </c>
      <c r="AF342" s="7">
        <f t="shared" si="5"/>
        <v>102</v>
      </c>
    </row>
    <row r="343" spans="1:32" ht="15" customHeight="1" x14ac:dyDescent="0.25">
      <c r="A343" t="str">
        <f>IFERROR(_xlfn.XLOOKUP(--F343,[1]imagenes!$D:$D,[1]imagenes!$A:$A),"")</f>
        <v/>
      </c>
      <c r="B343" s="2" t="str">
        <f>"Transito ("&amp;LOWER(INDEX('[1]En Transito'!$B$2:$B$70,MATCH($F343,'[1]En Transito'!$E$2:$E$70,0)))&amp;")"</f>
        <v>Transito (60 dias)</v>
      </c>
      <c r="C343" s="2"/>
      <c r="D343" s="2" t="s">
        <v>34</v>
      </c>
      <c r="E343" s="2" t="s">
        <v>367</v>
      </c>
      <c r="F343" s="2" t="s">
        <v>931</v>
      </c>
      <c r="G343" s="2" t="s">
        <v>932</v>
      </c>
      <c r="H343" s="2" t="s">
        <v>933</v>
      </c>
      <c r="I343" s="3">
        <v>34.5</v>
      </c>
      <c r="J343" s="4">
        <v>130</v>
      </c>
      <c r="S343" s="5">
        <v>3</v>
      </c>
      <c r="U343" s="5">
        <v>106</v>
      </c>
      <c r="V343" s="5">
        <v>13</v>
      </c>
      <c r="W343" s="5">
        <v>207</v>
      </c>
      <c r="X343" s="5">
        <v>13</v>
      </c>
      <c r="Y343" s="5">
        <v>207</v>
      </c>
      <c r="Z343" s="5">
        <v>13</v>
      </c>
      <c r="AA343" s="5">
        <v>188</v>
      </c>
      <c r="AB343" s="5">
        <v>4</v>
      </c>
      <c r="AC343" s="5">
        <v>62</v>
      </c>
      <c r="AF343" s="7">
        <f t="shared" si="5"/>
        <v>816</v>
      </c>
    </row>
    <row r="344" spans="1:32" ht="15" customHeight="1" x14ac:dyDescent="0.25">
      <c r="A344" t="str">
        <f>IFERROR(_xlfn.XLOOKUP(--F344,[1]imagenes!$D:$D,[1]imagenes!$A:$A),"")</f>
        <v/>
      </c>
      <c r="B344" s="2" t="str">
        <f>"Transito ("&amp;LOWER(INDEX('[1]En Transito'!$B$2:$B$70,MATCH($F344,'[1]En Transito'!$E$2:$E$70,0)))&amp;")"</f>
        <v>Transito (60 dias)</v>
      </c>
      <c r="C344" s="2" t="s">
        <v>332</v>
      </c>
      <c r="D344" s="2" t="s">
        <v>34</v>
      </c>
      <c r="E344" s="2" t="s">
        <v>367</v>
      </c>
      <c r="F344" s="2" t="s">
        <v>381</v>
      </c>
      <c r="G344" s="2" t="s">
        <v>382</v>
      </c>
      <c r="H344" s="2" t="s">
        <v>383</v>
      </c>
      <c r="I344" s="3">
        <v>34.5</v>
      </c>
      <c r="J344" s="4">
        <v>130</v>
      </c>
      <c r="S344" s="5">
        <v>3</v>
      </c>
      <c r="T344" s="5">
        <v>5</v>
      </c>
      <c r="U344" s="5">
        <v>11</v>
      </c>
      <c r="V344" s="5">
        <v>13</v>
      </c>
      <c r="W344" s="5">
        <v>15</v>
      </c>
      <c r="Y344" s="5">
        <v>15</v>
      </c>
      <c r="Z344" s="5">
        <v>13</v>
      </c>
      <c r="AB344" s="5">
        <v>4</v>
      </c>
      <c r="AC344" s="5">
        <v>2</v>
      </c>
      <c r="AF344" s="7">
        <f t="shared" si="5"/>
        <v>81</v>
      </c>
    </row>
    <row r="345" spans="1:32" ht="15" customHeight="1" x14ac:dyDescent="0.25">
      <c r="A345" t="str">
        <f>IFERROR(_xlfn.XLOOKUP(--F345,[1]imagenes!$D:$D,[1]imagenes!$A:$A),"")</f>
        <v/>
      </c>
      <c r="B345" s="2" t="str">
        <f>"Transito ("&amp;LOWER(INDEX('[1]En Transito'!$B$2:$B$70,MATCH($F345,'[1]En Transito'!$E$2:$E$70,0)))&amp;")"</f>
        <v>Transito (60 dias)</v>
      </c>
      <c r="C345" s="2" t="s">
        <v>332</v>
      </c>
      <c r="D345" s="2" t="s">
        <v>34</v>
      </c>
      <c r="E345" s="2" t="s">
        <v>367</v>
      </c>
      <c r="F345" s="2" t="s">
        <v>373</v>
      </c>
      <c r="G345" s="2" t="s">
        <v>374</v>
      </c>
      <c r="H345" s="2" t="s">
        <v>42</v>
      </c>
      <c r="I345" s="3">
        <v>34.5</v>
      </c>
      <c r="J345" s="4">
        <v>130</v>
      </c>
      <c r="S345" s="5">
        <v>251</v>
      </c>
      <c r="U345" s="5">
        <v>501</v>
      </c>
      <c r="W345" s="5">
        <v>772</v>
      </c>
      <c r="X345" s="5">
        <v>13</v>
      </c>
      <c r="Y345" s="5">
        <v>797</v>
      </c>
      <c r="Z345" s="5">
        <v>13</v>
      </c>
      <c r="AA345" s="5">
        <v>615</v>
      </c>
      <c r="AB345" s="5">
        <v>4</v>
      </c>
      <c r="AC345" s="5">
        <v>238</v>
      </c>
      <c r="AD345" s="5">
        <v>58</v>
      </c>
      <c r="AF345" s="7">
        <f t="shared" si="5"/>
        <v>3262</v>
      </c>
    </row>
    <row r="346" spans="1:32" ht="15" customHeight="1" x14ac:dyDescent="0.25">
      <c r="A346" t="str">
        <f>IFERROR(_xlfn.XLOOKUP(--F346,[1]imagenes!$D:$D,[1]imagenes!$A:$A),"")</f>
        <v/>
      </c>
      <c r="B346" s="2" t="str">
        <f>"Transito ("&amp;LOWER(INDEX('[1]En Transito'!$B$2:$B$70,MATCH($F346,'[1]En Transito'!$E$2:$E$70,0)))&amp;")"</f>
        <v>Transito (60 dias)</v>
      </c>
      <c r="C346" s="2"/>
      <c r="D346" s="2" t="s">
        <v>34</v>
      </c>
      <c r="E346" s="2" t="s">
        <v>367</v>
      </c>
      <c r="F346" s="2" t="s">
        <v>934</v>
      </c>
      <c r="G346" s="2" t="s">
        <v>935</v>
      </c>
      <c r="H346" s="2" t="s">
        <v>936</v>
      </c>
      <c r="I346" s="3">
        <v>34.5</v>
      </c>
      <c r="J346" s="4">
        <v>130</v>
      </c>
      <c r="S346" s="5">
        <v>3</v>
      </c>
      <c r="T346" s="5">
        <v>5</v>
      </c>
      <c r="U346" s="5">
        <v>11</v>
      </c>
      <c r="V346" s="5">
        <v>13</v>
      </c>
      <c r="W346" s="5">
        <v>15</v>
      </c>
      <c r="X346" s="5">
        <v>13</v>
      </c>
      <c r="Y346" s="5">
        <v>15</v>
      </c>
      <c r="Z346" s="5">
        <v>13</v>
      </c>
      <c r="AA346" s="5">
        <v>8</v>
      </c>
      <c r="AB346" s="5">
        <v>4</v>
      </c>
      <c r="AC346" s="5">
        <v>2</v>
      </c>
      <c r="AF346" s="7">
        <f t="shared" si="5"/>
        <v>102</v>
      </c>
    </row>
    <row r="347" spans="1:32" ht="15" customHeight="1" x14ac:dyDescent="0.25">
      <c r="A347" t="str">
        <f>IFERROR(_xlfn.XLOOKUP(--F347,[1]imagenes!$D:$D,[1]imagenes!$A:$A),"")</f>
        <v/>
      </c>
      <c r="B347" s="2" t="str">
        <f>"Transito ("&amp;LOWER(INDEX('[1]En Transito'!$B$2:$B$70,MATCH($F347,'[1]En Transito'!$E$2:$E$70,0)))&amp;")"</f>
        <v>Transito (60 dias)</v>
      </c>
      <c r="C347" s="2"/>
      <c r="D347" s="2" t="s">
        <v>34</v>
      </c>
      <c r="E347" s="2" t="s">
        <v>901</v>
      </c>
      <c r="F347" s="2" t="s">
        <v>937</v>
      </c>
      <c r="G347" s="2" t="s">
        <v>938</v>
      </c>
      <c r="H347" s="2" t="s">
        <v>69</v>
      </c>
      <c r="I347" s="3">
        <v>52</v>
      </c>
      <c r="J347" s="4">
        <v>165</v>
      </c>
      <c r="S347" s="5">
        <v>2</v>
      </c>
      <c r="V347" s="5">
        <v>8</v>
      </c>
      <c r="W347" s="5">
        <v>9</v>
      </c>
      <c r="X347" s="5">
        <v>7</v>
      </c>
      <c r="Y347" s="5">
        <v>9</v>
      </c>
      <c r="Z347" s="5">
        <v>7</v>
      </c>
      <c r="AA347" s="5">
        <v>4</v>
      </c>
      <c r="AB347" s="5">
        <v>2</v>
      </c>
      <c r="AC347" s="5">
        <v>2</v>
      </c>
      <c r="AF347" s="7">
        <f t="shared" si="5"/>
        <v>50</v>
      </c>
    </row>
    <row r="348" spans="1:32" ht="15" customHeight="1" x14ac:dyDescent="0.25">
      <c r="A348" t="str">
        <f>IFERROR(_xlfn.XLOOKUP(--F348,[1]imagenes!$D:$D,[1]imagenes!$A:$A),"")</f>
        <v/>
      </c>
      <c r="B348" s="2" t="str">
        <f>"Transito ("&amp;LOWER(INDEX('[1]En Transito'!$B$2:$B$70,MATCH($F348,'[1]En Transito'!$E$2:$E$70,0)))&amp;")"</f>
        <v>Transito (60 dias)</v>
      </c>
      <c r="C348" s="2"/>
      <c r="D348" s="2" t="s">
        <v>34</v>
      </c>
      <c r="E348" s="2" t="s">
        <v>901</v>
      </c>
      <c r="F348" s="2" t="s">
        <v>939</v>
      </c>
      <c r="G348" s="2" t="s">
        <v>940</v>
      </c>
      <c r="H348" s="2" t="s">
        <v>941</v>
      </c>
      <c r="I348" s="3">
        <v>52</v>
      </c>
      <c r="J348" s="4">
        <v>165</v>
      </c>
      <c r="V348" s="5">
        <v>8</v>
      </c>
      <c r="W348" s="5">
        <v>9</v>
      </c>
      <c r="X348" s="5">
        <v>7</v>
      </c>
      <c r="Y348" s="5">
        <v>9</v>
      </c>
      <c r="Z348" s="5">
        <v>7</v>
      </c>
      <c r="AA348" s="5">
        <v>4</v>
      </c>
      <c r="AB348" s="5">
        <v>2</v>
      </c>
      <c r="AC348" s="5">
        <v>2</v>
      </c>
      <c r="AF348" s="7">
        <f t="shared" si="5"/>
        <v>48</v>
      </c>
    </row>
    <row r="349" spans="1:32" ht="15" customHeight="1" x14ac:dyDescent="0.25">
      <c r="A349" t="str">
        <f>IFERROR(_xlfn.XLOOKUP(--F349,[1]imagenes!$D:$D,[1]imagenes!$A:$A),"")</f>
        <v/>
      </c>
      <c r="B349" s="2" t="str">
        <f>"Transito ("&amp;LOWER(INDEX('[1]En Transito'!$B$2:$B$70,MATCH($F349,'[1]En Transito'!$E$2:$E$70,0)))&amp;")"</f>
        <v>Transito (60 dias)</v>
      </c>
      <c r="C349" s="2"/>
      <c r="D349" s="2" t="s">
        <v>34</v>
      </c>
      <c r="E349" s="2" t="s">
        <v>901</v>
      </c>
      <c r="F349" s="2" t="s">
        <v>942</v>
      </c>
      <c r="G349" s="2" t="s">
        <v>943</v>
      </c>
      <c r="H349" s="2" t="s">
        <v>518</v>
      </c>
      <c r="I349" s="3">
        <v>52</v>
      </c>
      <c r="J349" s="4">
        <v>165</v>
      </c>
      <c r="S349" s="5">
        <v>2</v>
      </c>
      <c r="T349" s="5">
        <v>3</v>
      </c>
      <c r="U349" s="5">
        <v>7</v>
      </c>
      <c r="V349" s="5">
        <v>8</v>
      </c>
      <c r="W349" s="5">
        <v>9</v>
      </c>
      <c r="X349" s="5">
        <v>7</v>
      </c>
      <c r="Y349" s="5">
        <v>9</v>
      </c>
      <c r="Z349" s="5">
        <v>7</v>
      </c>
      <c r="AA349" s="5">
        <v>4</v>
      </c>
      <c r="AB349" s="5">
        <v>2</v>
      </c>
      <c r="AC349" s="5">
        <v>2</v>
      </c>
      <c r="AF349" s="7">
        <f t="shared" si="5"/>
        <v>60</v>
      </c>
    </row>
    <row r="350" spans="1:32" ht="15" customHeight="1" x14ac:dyDescent="0.25">
      <c r="A350" t="str">
        <f>IFERROR(_xlfn.XLOOKUP(--F350,[1]imagenes!$D:$D,[1]imagenes!$A:$A),"")</f>
        <v/>
      </c>
      <c r="B350" s="2" t="str">
        <f>"Transito ("&amp;LOWER(INDEX('[1]En Transito'!$B$2:$B$70,MATCH($F350,'[1]En Transito'!$E$2:$E$70,0)))&amp;")"</f>
        <v>Transito (60 dias)</v>
      </c>
      <c r="C350" s="2" t="s">
        <v>295</v>
      </c>
      <c r="D350" s="2" t="s">
        <v>34</v>
      </c>
      <c r="E350" s="2" t="s">
        <v>295</v>
      </c>
      <c r="F350" s="2" t="s">
        <v>296</v>
      </c>
      <c r="G350" s="2" t="s">
        <v>297</v>
      </c>
      <c r="H350" s="2" t="s">
        <v>69</v>
      </c>
      <c r="I350" s="3">
        <v>35</v>
      </c>
      <c r="J350" s="4">
        <v>150</v>
      </c>
      <c r="S350" s="5">
        <v>2</v>
      </c>
      <c r="T350" s="5">
        <v>3</v>
      </c>
      <c r="U350" s="5">
        <v>7</v>
      </c>
      <c r="V350" s="5">
        <v>8</v>
      </c>
      <c r="W350" s="5">
        <v>9</v>
      </c>
      <c r="X350" s="5">
        <v>7</v>
      </c>
      <c r="Y350" s="5">
        <v>9</v>
      </c>
      <c r="Z350" s="5">
        <v>7</v>
      </c>
      <c r="AA350" s="5">
        <v>4</v>
      </c>
      <c r="AB350" s="5">
        <v>2</v>
      </c>
      <c r="AC350" s="5">
        <v>2</v>
      </c>
      <c r="AF350" s="7">
        <f t="shared" si="5"/>
        <v>60</v>
      </c>
    </row>
    <row r="351" spans="1:32" ht="15" customHeight="1" x14ac:dyDescent="0.25">
      <c r="A351" t="str">
        <f>IFERROR(_xlfn.XLOOKUP(--F351,[1]imagenes!$D:$D,[1]imagenes!$A:$A),"")</f>
        <v/>
      </c>
      <c r="B351" s="2" t="str">
        <f>"Transito ("&amp;LOWER(INDEX('[1]En Transito'!$B$2:$B$70,MATCH($F351,'[1]En Transito'!$E$2:$E$70,0)))&amp;")"</f>
        <v>Transito (60 dias)</v>
      </c>
      <c r="C351" s="2" t="s">
        <v>295</v>
      </c>
      <c r="D351" s="2" t="s">
        <v>34</v>
      </c>
      <c r="E351" s="2" t="s">
        <v>295</v>
      </c>
      <c r="F351" s="2" t="s">
        <v>298</v>
      </c>
      <c r="G351" s="2" t="s">
        <v>299</v>
      </c>
      <c r="H351" s="2" t="s">
        <v>300</v>
      </c>
      <c r="I351" s="3">
        <v>35</v>
      </c>
      <c r="J351" s="4">
        <v>150</v>
      </c>
      <c r="S351" s="5">
        <v>3</v>
      </c>
      <c r="T351" s="5">
        <v>5</v>
      </c>
      <c r="U351" s="5">
        <v>11</v>
      </c>
      <c r="V351" s="5">
        <v>13</v>
      </c>
      <c r="W351" s="5">
        <v>15</v>
      </c>
      <c r="X351" s="5">
        <v>13</v>
      </c>
      <c r="Y351" s="5">
        <v>15</v>
      </c>
      <c r="Z351" s="5">
        <v>13</v>
      </c>
      <c r="AA351" s="5">
        <v>8</v>
      </c>
      <c r="AB351" s="5">
        <v>4</v>
      </c>
      <c r="AC351" s="5">
        <v>2</v>
      </c>
      <c r="AF351" s="7">
        <f t="shared" si="5"/>
        <v>102</v>
      </c>
    </row>
    <row r="352" spans="1:32" ht="15" customHeight="1" x14ac:dyDescent="0.25">
      <c r="A352" t="str">
        <f>IFERROR(_xlfn.XLOOKUP(--F352,[1]imagenes!$D:$D,[1]imagenes!$A:$A),"")</f>
        <v/>
      </c>
      <c r="B352" s="2" t="str">
        <f>"Transito ("&amp;LOWER(INDEX('[1]En Transito'!$B$2:$B$70,MATCH($F352,'[1]En Transito'!$E$2:$E$70,0)))&amp;")"</f>
        <v>Transito (60 dias)</v>
      </c>
      <c r="C352" s="2"/>
      <c r="D352" s="2" t="s">
        <v>34</v>
      </c>
      <c r="E352" s="2" t="s">
        <v>295</v>
      </c>
      <c r="F352" s="2" t="s">
        <v>944</v>
      </c>
      <c r="G352" s="2" t="s">
        <v>945</v>
      </c>
      <c r="H352" s="2" t="s">
        <v>315</v>
      </c>
      <c r="I352" s="3">
        <v>35</v>
      </c>
      <c r="J352" s="4">
        <v>150</v>
      </c>
      <c r="S352" s="5">
        <v>3</v>
      </c>
      <c r="T352" s="5">
        <v>5</v>
      </c>
      <c r="U352" s="5">
        <v>11</v>
      </c>
      <c r="V352" s="5">
        <v>13</v>
      </c>
      <c r="W352" s="5">
        <v>15</v>
      </c>
      <c r="X352" s="5">
        <v>13</v>
      </c>
      <c r="Y352" s="5">
        <v>15</v>
      </c>
      <c r="Z352" s="5">
        <v>13</v>
      </c>
      <c r="AA352" s="5">
        <v>8</v>
      </c>
      <c r="AB352" s="5">
        <v>4</v>
      </c>
      <c r="AC352" s="5">
        <v>2</v>
      </c>
      <c r="AF352" s="7">
        <f t="shared" si="5"/>
        <v>102</v>
      </c>
    </row>
    <row r="353" spans="1:32" ht="15" customHeight="1" x14ac:dyDescent="0.25">
      <c r="A353" t="str">
        <f>IFERROR(_xlfn.XLOOKUP(--F353,[1]imagenes!$D:$D,[1]imagenes!$A:$A),"")</f>
        <v/>
      </c>
      <c r="B353" s="2" t="str">
        <f>"Transito ("&amp;LOWER(INDEX('[1]En Transito'!$B$2:$B$70,MATCH($F353,'[1]En Transito'!$E$2:$E$70,0)))&amp;")"</f>
        <v>Transito (90 dias)</v>
      </c>
      <c r="C353" s="2"/>
      <c r="D353" s="2" t="s">
        <v>34</v>
      </c>
      <c r="E353" s="2" t="s">
        <v>367</v>
      </c>
      <c r="F353" s="2" t="s">
        <v>946</v>
      </c>
      <c r="G353" s="2" t="s">
        <v>947</v>
      </c>
      <c r="H353" s="2" t="s">
        <v>948</v>
      </c>
      <c r="I353" s="3">
        <v>34.5</v>
      </c>
      <c r="J353" s="4">
        <v>130</v>
      </c>
      <c r="U353" s="5">
        <v>96</v>
      </c>
      <c r="W353" s="5">
        <v>192</v>
      </c>
      <c r="Y353" s="5">
        <v>192</v>
      </c>
      <c r="AA353" s="5">
        <v>179</v>
      </c>
      <c r="AC353" s="5">
        <v>60</v>
      </c>
      <c r="AD353" s="5">
        <v>24</v>
      </c>
      <c r="AF353" s="7">
        <f t="shared" si="5"/>
        <v>743</v>
      </c>
    </row>
    <row r="354" spans="1:32" ht="15" customHeight="1" x14ac:dyDescent="0.25">
      <c r="A354" t="str">
        <f>IFERROR(_xlfn.XLOOKUP(--F354,[1]imagenes!$D:$D,[1]imagenes!$A:$A),"")</f>
        <v/>
      </c>
      <c r="B354" s="2" t="str">
        <f>"Transito ("&amp;LOWER(INDEX('[1]En Transito'!$B$2:$B$70,MATCH($F354,'[1]En Transito'!$E$2:$E$70,0)))&amp;")"</f>
        <v>Transito (90 dias)</v>
      </c>
      <c r="C354" s="2"/>
      <c r="D354" s="2" t="s">
        <v>134</v>
      </c>
      <c r="E354" s="2" t="s">
        <v>367</v>
      </c>
      <c r="F354" s="2" t="s">
        <v>949</v>
      </c>
      <c r="G354" s="2" t="s">
        <v>950</v>
      </c>
      <c r="H354" s="2" t="s">
        <v>42</v>
      </c>
      <c r="I354" s="3">
        <v>34.5</v>
      </c>
      <c r="J354" s="4">
        <v>130</v>
      </c>
      <c r="O354" s="5">
        <v>59</v>
      </c>
      <c r="Q354" s="5">
        <v>240</v>
      </c>
      <c r="S354" s="5">
        <v>358</v>
      </c>
      <c r="U354" s="5">
        <v>360</v>
      </c>
      <c r="W354" s="5">
        <v>286</v>
      </c>
      <c r="Y354" s="5">
        <v>44</v>
      </c>
      <c r="AF354" s="7">
        <f t="shared" si="5"/>
        <v>1347</v>
      </c>
    </row>
    <row r="355" spans="1:32" ht="15" customHeight="1" x14ac:dyDescent="0.25">
      <c r="A355" t="str">
        <f>IFERROR(_xlfn.XLOOKUP(--F355,[1]imagenes!$D:$D,[1]imagenes!$A:$A),"")</f>
        <v/>
      </c>
      <c r="B355" s="2" t="s">
        <v>951</v>
      </c>
      <c r="C355" s="2"/>
      <c r="D355" s="2" t="s">
        <v>134</v>
      </c>
      <c r="E355" s="2" t="s">
        <v>952</v>
      </c>
      <c r="F355" s="2" t="s">
        <v>953</v>
      </c>
      <c r="G355" s="2" t="s">
        <v>954</v>
      </c>
      <c r="H355" s="2"/>
      <c r="I355" s="3">
        <v>39</v>
      </c>
      <c r="J355" s="4">
        <v>150</v>
      </c>
      <c r="S355" s="5">
        <v>1</v>
      </c>
      <c r="T355" s="5">
        <v>2</v>
      </c>
      <c r="U355" s="5">
        <v>2</v>
      </c>
      <c r="V355" s="5">
        <v>2</v>
      </c>
      <c r="W355" s="5">
        <v>2</v>
      </c>
      <c r="X355" s="5">
        <v>2</v>
      </c>
      <c r="Y355" s="5">
        <v>2</v>
      </c>
      <c r="AF355" s="7">
        <f t="shared" si="5"/>
        <v>13</v>
      </c>
    </row>
    <row r="356" spans="1:32" ht="15" customHeight="1" x14ac:dyDescent="0.25">
      <c r="A356" t="str">
        <f>IFERROR(_xlfn.XLOOKUP(--F356,[1]imagenes!$D:$D,[1]imagenes!$A:$A),"")</f>
        <v/>
      </c>
      <c r="B356" s="2" t="s">
        <v>951</v>
      </c>
      <c r="C356" s="2" t="s">
        <v>33</v>
      </c>
      <c r="D356" s="2" t="s">
        <v>134</v>
      </c>
      <c r="E356" s="2" t="s">
        <v>135</v>
      </c>
      <c r="F356" s="2" t="s">
        <v>138</v>
      </c>
      <c r="G356" s="2" t="s">
        <v>139</v>
      </c>
      <c r="H356" s="2"/>
      <c r="I356" s="3">
        <v>26</v>
      </c>
      <c r="J356" s="4">
        <v>95</v>
      </c>
      <c r="Q356" s="5">
        <v>1</v>
      </c>
      <c r="R356" s="5">
        <v>1</v>
      </c>
      <c r="S356" s="5">
        <v>2</v>
      </c>
      <c r="T356" s="5">
        <v>1</v>
      </c>
      <c r="V356" s="5">
        <v>1</v>
      </c>
      <c r="W356" s="5">
        <v>1</v>
      </c>
      <c r="X356" s="5">
        <v>1</v>
      </c>
      <c r="Y356" s="5">
        <v>1</v>
      </c>
      <c r="Z356" s="5">
        <v>1</v>
      </c>
      <c r="AA356" s="5">
        <v>1</v>
      </c>
      <c r="AF356" s="7">
        <f t="shared" si="5"/>
        <v>11</v>
      </c>
    </row>
    <row r="357" spans="1:32" ht="15" customHeight="1" x14ac:dyDescent="0.25">
      <c r="A357" t="str">
        <f>IFERROR(_xlfn.XLOOKUP(--F357,[1]imagenes!$D:$D,[1]imagenes!$A:$A),"")</f>
        <v/>
      </c>
      <c r="B357" s="2" t="s">
        <v>951</v>
      </c>
      <c r="C357" s="2"/>
      <c r="D357" s="2" t="s">
        <v>134</v>
      </c>
      <c r="E357" s="2" t="s">
        <v>952</v>
      </c>
      <c r="F357" s="2" t="s">
        <v>955</v>
      </c>
      <c r="G357" s="2" t="s">
        <v>956</v>
      </c>
      <c r="H357" s="2"/>
      <c r="I357" s="3">
        <v>39</v>
      </c>
      <c r="J357" s="4">
        <v>150</v>
      </c>
      <c r="S357" s="5">
        <v>2</v>
      </c>
      <c r="T357" s="5">
        <v>1</v>
      </c>
      <c r="U357" s="5">
        <v>2</v>
      </c>
      <c r="V357" s="5">
        <v>1</v>
      </c>
      <c r="W357" s="5">
        <v>2</v>
      </c>
      <c r="X357" s="5">
        <v>1</v>
      </c>
      <c r="Y357" s="5">
        <v>1</v>
      </c>
      <c r="Z357" s="5">
        <v>1</v>
      </c>
      <c r="AF357" s="7">
        <f t="shared" si="5"/>
        <v>11</v>
      </c>
    </row>
    <row r="358" spans="1:32" ht="15" customHeight="1" x14ac:dyDescent="0.25">
      <c r="A358" t="str">
        <f>IFERROR(_xlfn.XLOOKUP(--F358,[1]imagenes!$D:$D,[1]imagenes!$A:$A),"")</f>
        <v/>
      </c>
      <c r="B358" s="2" t="s">
        <v>951</v>
      </c>
      <c r="C358" s="2"/>
      <c r="D358" s="2" t="s">
        <v>34</v>
      </c>
      <c r="E358" s="2" t="s">
        <v>519</v>
      </c>
      <c r="F358" s="2" t="s">
        <v>957</v>
      </c>
      <c r="G358" s="2" t="s">
        <v>958</v>
      </c>
      <c r="H358" s="2"/>
      <c r="I358" s="3">
        <v>47</v>
      </c>
      <c r="J358" s="4">
        <v>150</v>
      </c>
      <c r="U358" s="5">
        <v>1</v>
      </c>
      <c r="W358" s="5">
        <v>2</v>
      </c>
      <c r="X358" s="5">
        <v>1</v>
      </c>
      <c r="Z358" s="5">
        <v>1</v>
      </c>
      <c r="AA358" s="5">
        <v>1</v>
      </c>
      <c r="AB358" s="5">
        <v>1</v>
      </c>
      <c r="AC358" s="5">
        <v>1</v>
      </c>
      <c r="AF358" s="7">
        <f t="shared" si="5"/>
        <v>8</v>
      </c>
    </row>
    <row r="359" spans="1:32" ht="15" customHeight="1" x14ac:dyDescent="0.25">
      <c r="A359" t="str">
        <f>IFERROR(_xlfn.XLOOKUP(--F359,[1]imagenes!$D:$D,[1]imagenes!$A:$A),"")</f>
        <v/>
      </c>
      <c r="B359" s="2" t="s">
        <v>951</v>
      </c>
      <c r="C359" s="2" t="s">
        <v>33</v>
      </c>
      <c r="D359" s="2" t="s">
        <v>134</v>
      </c>
      <c r="E359" s="2" t="s">
        <v>100</v>
      </c>
      <c r="F359" s="2" t="s">
        <v>274</v>
      </c>
      <c r="G359" s="2" t="s">
        <v>275</v>
      </c>
      <c r="H359" s="2"/>
      <c r="I359" s="3">
        <v>33</v>
      </c>
      <c r="J359" s="4">
        <v>115</v>
      </c>
      <c r="S359" s="5">
        <v>1</v>
      </c>
      <c r="T359" s="5">
        <v>1</v>
      </c>
      <c r="U359" s="5">
        <v>2</v>
      </c>
      <c r="V359" s="5">
        <v>1</v>
      </c>
      <c r="W359" s="5">
        <v>1</v>
      </c>
      <c r="X359" s="5">
        <v>1</v>
      </c>
      <c r="Y359" s="5">
        <v>1</v>
      </c>
      <c r="AF359" s="7">
        <f t="shared" si="5"/>
        <v>8</v>
      </c>
    </row>
    <row r="360" spans="1:32" ht="15" customHeight="1" x14ac:dyDescent="0.25">
      <c r="A360" t="str">
        <f>IFERROR(_xlfn.XLOOKUP(--F360,[1]imagenes!$D:$D,[1]imagenes!$A:$A),"")</f>
        <v/>
      </c>
      <c r="B360" s="2" t="s">
        <v>951</v>
      </c>
      <c r="C360" s="2" t="s">
        <v>502</v>
      </c>
      <c r="D360" s="2" t="s">
        <v>134</v>
      </c>
      <c r="E360" s="2" t="s">
        <v>519</v>
      </c>
      <c r="F360" s="2" t="s">
        <v>639</v>
      </c>
      <c r="G360" s="2" t="s">
        <v>640</v>
      </c>
      <c r="H360" s="2"/>
      <c r="I360" s="3">
        <v>47</v>
      </c>
      <c r="J360" s="4">
        <v>150</v>
      </c>
      <c r="S360" s="5">
        <v>2</v>
      </c>
      <c r="U360" s="5">
        <v>2</v>
      </c>
      <c r="V360" s="5">
        <v>1</v>
      </c>
      <c r="W360" s="5">
        <v>2</v>
      </c>
      <c r="X360" s="5">
        <v>1</v>
      </c>
      <c r="Y360" s="5">
        <v>1</v>
      </c>
      <c r="AF360" s="7">
        <f t="shared" si="5"/>
        <v>9</v>
      </c>
    </row>
    <row r="361" spans="1:32" ht="15" customHeight="1" x14ac:dyDescent="0.25">
      <c r="A361" t="str">
        <f>IFERROR(_xlfn.XLOOKUP(--F361,[1]imagenes!$D:$D,[1]imagenes!$A:$A),"")</f>
        <v/>
      </c>
      <c r="B361" s="2" t="s">
        <v>951</v>
      </c>
      <c r="C361" s="2"/>
      <c r="D361" s="2" t="s">
        <v>34</v>
      </c>
      <c r="E361" s="2" t="s">
        <v>959</v>
      </c>
      <c r="F361" s="2" t="s">
        <v>960</v>
      </c>
      <c r="G361" s="2" t="s">
        <v>961</v>
      </c>
      <c r="H361" s="2"/>
      <c r="I361" s="3">
        <v>41.5</v>
      </c>
      <c r="J361" s="4">
        <v>150</v>
      </c>
      <c r="V361" s="5">
        <v>1</v>
      </c>
      <c r="W361" s="5">
        <v>1</v>
      </c>
      <c r="X361" s="5">
        <v>1</v>
      </c>
      <c r="Y361" s="5">
        <v>1</v>
      </c>
      <c r="AA361" s="5">
        <v>1</v>
      </c>
      <c r="AF361" s="7">
        <f t="shared" si="5"/>
        <v>5</v>
      </c>
    </row>
    <row r="362" spans="1:32" ht="15" customHeight="1" x14ac:dyDescent="0.25">
      <c r="A362" t="str">
        <f>IFERROR(_xlfn.XLOOKUP(--F362,[1]imagenes!$D:$D,[1]imagenes!$A:$A),"")</f>
        <v/>
      </c>
      <c r="B362" s="2" t="s">
        <v>951</v>
      </c>
      <c r="C362" s="2"/>
      <c r="D362" s="2" t="s">
        <v>34</v>
      </c>
      <c r="E362" s="2" t="s">
        <v>959</v>
      </c>
      <c r="F362" s="2" t="s">
        <v>962</v>
      </c>
      <c r="G362" s="2" t="s">
        <v>963</v>
      </c>
      <c r="H362" s="2"/>
      <c r="I362" s="3">
        <v>41.5</v>
      </c>
      <c r="J362" s="4">
        <v>150</v>
      </c>
      <c r="W362" s="5">
        <v>1</v>
      </c>
      <c r="X362" s="5">
        <v>1</v>
      </c>
      <c r="Y362" s="5">
        <v>3</v>
      </c>
      <c r="Z362" s="5">
        <v>1</v>
      </c>
      <c r="AA362" s="5">
        <v>1</v>
      </c>
      <c r="AB362" s="5">
        <v>1</v>
      </c>
      <c r="AC362" s="5">
        <v>1</v>
      </c>
      <c r="AF362" s="7">
        <f t="shared" si="5"/>
        <v>9</v>
      </c>
    </row>
    <row r="363" spans="1:32" ht="15" customHeight="1" x14ac:dyDescent="0.25">
      <c r="A363" t="str">
        <f>IFERROR(_xlfn.XLOOKUP(--F363,[1]imagenes!$D:$D,[1]imagenes!$A:$A),"")</f>
        <v/>
      </c>
      <c r="B363" s="2" t="s">
        <v>951</v>
      </c>
      <c r="C363" s="2" t="s">
        <v>502</v>
      </c>
      <c r="D363" s="2" t="s">
        <v>134</v>
      </c>
      <c r="E363" s="2" t="s">
        <v>519</v>
      </c>
      <c r="F363" s="2" t="s">
        <v>636</v>
      </c>
      <c r="G363" s="2" t="s">
        <v>637</v>
      </c>
      <c r="H363" s="2"/>
      <c r="I363" s="3">
        <v>47</v>
      </c>
      <c r="J363" s="4">
        <v>150</v>
      </c>
      <c r="W363" s="5">
        <v>1</v>
      </c>
      <c r="Y363" s="5">
        <v>1</v>
      </c>
      <c r="AF363" s="7">
        <f t="shared" si="5"/>
        <v>2</v>
      </c>
    </row>
    <row r="364" spans="1:32" ht="15" customHeight="1" x14ac:dyDescent="0.25">
      <c r="A364" t="str">
        <f>IFERROR(_xlfn.XLOOKUP(--F364,[1]imagenes!$D:$D,[1]imagenes!$A:$A),"")</f>
        <v/>
      </c>
      <c r="B364" s="2" t="s">
        <v>951</v>
      </c>
      <c r="C364" s="2" t="s">
        <v>332</v>
      </c>
      <c r="D364" s="2" t="s">
        <v>34</v>
      </c>
      <c r="E364" s="2" t="s">
        <v>391</v>
      </c>
      <c r="F364" s="2" t="s">
        <v>392</v>
      </c>
      <c r="G364" s="2" t="s">
        <v>393</v>
      </c>
      <c r="H364" s="2"/>
      <c r="I364" s="3">
        <v>39</v>
      </c>
      <c r="J364" s="4">
        <v>140</v>
      </c>
      <c r="W364" s="5">
        <v>1</v>
      </c>
      <c r="AA364" s="5">
        <v>1</v>
      </c>
      <c r="AF364" s="7">
        <f t="shared" si="5"/>
        <v>2</v>
      </c>
    </row>
    <row r="365" spans="1:32" ht="15" customHeight="1" x14ac:dyDescent="0.25">
      <c r="A365" t="str">
        <f>IFERROR(_xlfn.XLOOKUP(--F365,[1]imagenes!$D:$D,[1]imagenes!$A:$A),"")</f>
        <v/>
      </c>
      <c r="B365" s="2" t="s">
        <v>951</v>
      </c>
      <c r="C365" s="2"/>
      <c r="D365" s="2" t="s">
        <v>34</v>
      </c>
      <c r="E365" s="2" t="s">
        <v>964</v>
      </c>
      <c r="F365" s="2" t="s">
        <v>965</v>
      </c>
      <c r="G365" s="2" t="s">
        <v>966</v>
      </c>
      <c r="H365" s="2"/>
      <c r="I365" s="3">
        <v>42.5</v>
      </c>
      <c r="J365" s="4">
        <v>160</v>
      </c>
      <c r="Y365" s="5">
        <v>1</v>
      </c>
      <c r="AA365" s="5">
        <v>1</v>
      </c>
      <c r="AF365" s="7">
        <f t="shared" si="5"/>
        <v>2</v>
      </c>
    </row>
    <row r="366" spans="1:32" ht="15" customHeight="1" x14ac:dyDescent="0.25">
      <c r="A366" t="str">
        <f>IFERROR(_xlfn.XLOOKUP(--F366,[1]imagenes!$D:$D,[1]imagenes!$A:$A),"")</f>
        <v/>
      </c>
      <c r="B366" s="2" t="s">
        <v>951</v>
      </c>
      <c r="C366" s="2"/>
      <c r="D366" s="2" t="s">
        <v>34</v>
      </c>
      <c r="E366" s="2" t="s">
        <v>964</v>
      </c>
      <c r="F366" s="2" t="s">
        <v>967</v>
      </c>
      <c r="G366" s="2" t="s">
        <v>968</v>
      </c>
      <c r="H366" s="2"/>
      <c r="I366" s="3">
        <v>42.5</v>
      </c>
      <c r="J366" s="4">
        <v>160</v>
      </c>
      <c r="W366" s="5">
        <v>1</v>
      </c>
      <c r="Y366" s="5">
        <v>1</v>
      </c>
      <c r="AF366" s="7">
        <f t="shared" si="5"/>
        <v>2</v>
      </c>
    </row>
    <row r="367" spans="1:32" ht="15" customHeight="1" x14ac:dyDescent="0.25">
      <c r="A367" t="str">
        <f>IFERROR(_xlfn.XLOOKUP(--F367,[1]imagenes!$D:$D,[1]imagenes!$A:$A),"")</f>
        <v/>
      </c>
      <c r="B367" s="2" t="s">
        <v>951</v>
      </c>
      <c r="C367" s="2" t="s">
        <v>502</v>
      </c>
      <c r="D367" s="2" t="s">
        <v>34</v>
      </c>
      <c r="E367" s="2" t="s">
        <v>519</v>
      </c>
      <c r="F367" s="2" t="s">
        <v>520</v>
      </c>
      <c r="G367" s="2" t="s">
        <v>521</v>
      </c>
      <c r="H367" s="2"/>
      <c r="I367" s="3">
        <v>47</v>
      </c>
      <c r="J367" s="4">
        <v>150</v>
      </c>
      <c r="U367" s="5">
        <v>1</v>
      </c>
      <c r="X367" s="5">
        <v>1</v>
      </c>
      <c r="AA367" s="5">
        <v>2</v>
      </c>
      <c r="AC367" s="5">
        <v>1</v>
      </c>
      <c r="AF367" s="7">
        <f t="shared" si="5"/>
        <v>5</v>
      </c>
    </row>
    <row r="368" spans="1:32" ht="15" customHeight="1" x14ac:dyDescent="0.25">
      <c r="A368" t="str">
        <f>IFERROR(_xlfn.XLOOKUP(--F368,[1]imagenes!$D:$D,[1]imagenes!$A:$A),"")</f>
        <v/>
      </c>
      <c r="B368" s="2" t="s">
        <v>951</v>
      </c>
      <c r="C368" s="2" t="s">
        <v>502</v>
      </c>
      <c r="D368" s="2" t="s">
        <v>34</v>
      </c>
      <c r="E368" s="2" t="s">
        <v>503</v>
      </c>
      <c r="F368" s="2" t="s">
        <v>504</v>
      </c>
      <c r="G368" s="2" t="s">
        <v>505</v>
      </c>
      <c r="H368" s="2"/>
      <c r="I368" s="3">
        <v>49.75</v>
      </c>
      <c r="J368" s="4">
        <v>160</v>
      </c>
      <c r="W368" s="5">
        <v>1</v>
      </c>
      <c r="Y368" s="5">
        <v>1</v>
      </c>
      <c r="AF368" s="7">
        <f t="shared" si="5"/>
        <v>2</v>
      </c>
    </row>
    <row r="369" spans="1:32" ht="15" customHeight="1" x14ac:dyDescent="0.25">
      <c r="A369" t="str">
        <f>IFERROR(_xlfn.XLOOKUP(--F369,[1]imagenes!$D:$D,[1]imagenes!$A:$A),"")</f>
        <v/>
      </c>
      <c r="B369" s="2" t="s">
        <v>951</v>
      </c>
      <c r="C369" s="2" t="s">
        <v>33</v>
      </c>
      <c r="D369" s="2" t="s">
        <v>34</v>
      </c>
      <c r="E369" s="2" t="s">
        <v>39</v>
      </c>
      <c r="F369" s="2" t="s">
        <v>40</v>
      </c>
      <c r="G369" s="2" t="s">
        <v>41</v>
      </c>
      <c r="H369" s="2"/>
      <c r="I369" s="3">
        <v>30.5</v>
      </c>
      <c r="J369" s="4">
        <v>115</v>
      </c>
      <c r="W369" s="5">
        <v>1</v>
      </c>
      <c r="Y369" s="5">
        <v>1</v>
      </c>
      <c r="AA369" s="5">
        <v>1</v>
      </c>
      <c r="AF369" s="7">
        <f t="shared" si="5"/>
        <v>3</v>
      </c>
    </row>
    <row r="370" spans="1:32" ht="15" customHeight="1" x14ac:dyDescent="0.25">
      <c r="A370" t="str">
        <f>IFERROR(_xlfn.XLOOKUP(--F370,[1]imagenes!$D:$D,[1]imagenes!$A:$A),"")</f>
        <v/>
      </c>
      <c r="B370" s="2" t="s">
        <v>951</v>
      </c>
      <c r="C370" s="2" t="s">
        <v>332</v>
      </c>
      <c r="D370" s="2" t="s">
        <v>34</v>
      </c>
      <c r="E370" s="2" t="s">
        <v>387</v>
      </c>
      <c r="F370" s="2" t="s">
        <v>388</v>
      </c>
      <c r="G370" s="2" t="s">
        <v>389</v>
      </c>
      <c r="H370" s="2"/>
      <c r="I370" s="3">
        <v>38</v>
      </c>
      <c r="J370" s="4">
        <v>135</v>
      </c>
      <c r="W370" s="5">
        <v>1</v>
      </c>
      <c r="AA370" s="5">
        <v>1</v>
      </c>
      <c r="AF370" s="7">
        <f t="shared" si="5"/>
        <v>2</v>
      </c>
    </row>
    <row r="371" spans="1:32" ht="15" customHeight="1" x14ac:dyDescent="0.25">
      <c r="A371" t="str">
        <f>IFERROR(_xlfn.XLOOKUP(--F371,[1]imagenes!$D:$D,[1]imagenes!$A:$A),"")</f>
        <v/>
      </c>
      <c r="B371" s="2" t="s">
        <v>951</v>
      </c>
      <c r="C371" s="2"/>
      <c r="D371" s="2" t="s">
        <v>34</v>
      </c>
      <c r="E371" s="2" t="s">
        <v>46</v>
      </c>
      <c r="F371" s="2" t="s">
        <v>969</v>
      </c>
      <c r="G371" s="2" t="s">
        <v>970</v>
      </c>
      <c r="H371" s="2"/>
      <c r="I371" s="3">
        <v>27.5</v>
      </c>
      <c r="J371" s="4">
        <v>110</v>
      </c>
      <c r="V371" s="5">
        <v>1</v>
      </c>
      <c r="W371" s="5">
        <v>1</v>
      </c>
      <c r="Y371" s="5">
        <v>1</v>
      </c>
      <c r="AF371" s="7">
        <f t="shared" si="5"/>
        <v>3</v>
      </c>
    </row>
    <row r="372" spans="1:32" ht="15" customHeight="1" x14ac:dyDescent="0.25">
      <c r="A372" t="str">
        <f>IFERROR(_xlfn.XLOOKUP(--F372,[1]imagenes!$D:$D,[1]imagenes!$A:$A),"")</f>
        <v/>
      </c>
      <c r="B372" s="2" t="s">
        <v>951</v>
      </c>
      <c r="C372" s="2"/>
      <c r="D372" s="2" t="s">
        <v>34</v>
      </c>
      <c r="E372" s="2" t="s">
        <v>971</v>
      </c>
      <c r="F372" s="2" t="s">
        <v>972</v>
      </c>
      <c r="G372" s="2" t="s">
        <v>973</v>
      </c>
      <c r="H372" s="2"/>
      <c r="I372" s="3">
        <v>29.5</v>
      </c>
      <c r="J372" s="4">
        <v>110</v>
      </c>
      <c r="W372" s="5">
        <v>1</v>
      </c>
      <c r="Y372" s="5">
        <v>1</v>
      </c>
      <c r="AA372" s="5">
        <v>1</v>
      </c>
      <c r="AF372" s="7">
        <f t="shared" si="5"/>
        <v>3</v>
      </c>
    </row>
    <row r="373" spans="1:32" ht="15" customHeight="1" x14ac:dyDescent="0.25">
      <c r="A373" t="str">
        <f>IFERROR(_xlfn.XLOOKUP(--F373,[1]imagenes!$D:$D,[1]imagenes!$A:$A),"")</f>
        <v/>
      </c>
      <c r="B373" s="2" t="s">
        <v>951</v>
      </c>
      <c r="C373" s="2"/>
      <c r="D373" s="2" t="s">
        <v>34</v>
      </c>
      <c r="E373" s="2" t="s">
        <v>971</v>
      </c>
      <c r="F373" s="2" t="s">
        <v>974</v>
      </c>
      <c r="G373" s="2" t="s">
        <v>975</v>
      </c>
      <c r="H373" s="2"/>
      <c r="I373" s="3">
        <v>29.5</v>
      </c>
      <c r="J373" s="4">
        <v>110</v>
      </c>
      <c r="W373" s="5">
        <v>1</v>
      </c>
      <c r="Y373" s="5">
        <v>1</v>
      </c>
      <c r="AA373" s="5">
        <v>1</v>
      </c>
      <c r="AF373" s="7">
        <f t="shared" si="5"/>
        <v>3</v>
      </c>
    </row>
    <row r="374" spans="1:32" ht="15" customHeight="1" x14ac:dyDescent="0.25">
      <c r="A374" t="str">
        <f>IFERROR(_xlfn.XLOOKUP(--F374,[1]imagenes!$D:$D,[1]imagenes!$A:$A),"")</f>
        <v/>
      </c>
      <c r="B374" s="2" t="s">
        <v>951</v>
      </c>
      <c r="C374" s="2" t="s">
        <v>502</v>
      </c>
      <c r="D374" s="2" t="s">
        <v>34</v>
      </c>
      <c r="E374" s="2" t="s">
        <v>503</v>
      </c>
      <c r="F374" s="2" t="s">
        <v>507</v>
      </c>
      <c r="G374" s="2" t="s">
        <v>508</v>
      </c>
      <c r="H374" s="2"/>
      <c r="I374" s="3">
        <v>49.75</v>
      </c>
      <c r="J374" s="4">
        <v>160</v>
      </c>
      <c r="W374" s="5">
        <v>1</v>
      </c>
      <c r="Y374" s="5">
        <v>1</v>
      </c>
      <c r="AA374" s="5">
        <v>1</v>
      </c>
      <c r="AF374" s="7">
        <f t="shared" si="5"/>
        <v>3</v>
      </c>
    </row>
    <row r="375" spans="1:32" ht="15" customHeight="1" x14ac:dyDescent="0.25">
      <c r="A375" t="str">
        <f>IFERROR(_xlfn.XLOOKUP(--F375,[1]imagenes!$D:$D,[1]imagenes!$A:$A),"")</f>
        <v/>
      </c>
      <c r="B375" s="2" t="s">
        <v>951</v>
      </c>
      <c r="C375" s="2"/>
      <c r="D375" s="2" t="s">
        <v>34</v>
      </c>
      <c r="E375" s="2" t="s">
        <v>976</v>
      </c>
      <c r="F375" s="2" t="s">
        <v>977</v>
      </c>
      <c r="G375" s="2" t="s">
        <v>978</v>
      </c>
      <c r="H375" s="2"/>
      <c r="I375" s="3">
        <v>49.75</v>
      </c>
      <c r="J375" s="4">
        <v>160</v>
      </c>
      <c r="AE375" s="6">
        <v>3</v>
      </c>
      <c r="AF375" s="7">
        <f t="shared" si="5"/>
        <v>0</v>
      </c>
    </row>
    <row r="376" spans="1:32" ht="15" customHeight="1" x14ac:dyDescent="0.25">
      <c r="A376" t="str">
        <f>IFERROR(_xlfn.XLOOKUP(--F376,[1]imagenes!$D:$D,[1]imagenes!$A:$A),"")</f>
        <v/>
      </c>
      <c r="B376" s="2" t="s">
        <v>951</v>
      </c>
      <c r="C376" s="2" t="s">
        <v>502</v>
      </c>
      <c r="D376" s="2" t="s">
        <v>34</v>
      </c>
      <c r="E376" s="2" t="s">
        <v>550</v>
      </c>
      <c r="F376" s="2" t="s">
        <v>551</v>
      </c>
      <c r="G376" s="2" t="s">
        <v>552</v>
      </c>
      <c r="H376" s="2"/>
      <c r="I376" s="3">
        <v>55</v>
      </c>
      <c r="J376" s="4">
        <v>180</v>
      </c>
      <c r="W376" s="5">
        <v>1</v>
      </c>
      <c r="Y376" s="5">
        <v>1</v>
      </c>
      <c r="AA376" s="5">
        <v>1</v>
      </c>
      <c r="AF376" s="7">
        <f t="shared" si="5"/>
        <v>3</v>
      </c>
    </row>
    <row r="377" spans="1:32" ht="15" customHeight="1" x14ac:dyDescent="0.25">
      <c r="A377" t="str">
        <f>IFERROR(_xlfn.XLOOKUP(--F377,[1]imagenes!$D:$D,[1]imagenes!$A:$A),"")</f>
        <v/>
      </c>
      <c r="B377" s="2" t="s">
        <v>951</v>
      </c>
      <c r="C377" s="2" t="s">
        <v>502</v>
      </c>
      <c r="D377" s="2" t="s">
        <v>34</v>
      </c>
      <c r="E377" s="2" t="s">
        <v>550</v>
      </c>
      <c r="F377" s="2" t="s">
        <v>554</v>
      </c>
      <c r="G377" s="2" t="s">
        <v>555</v>
      </c>
      <c r="H377" s="2"/>
      <c r="I377" s="3">
        <v>55</v>
      </c>
      <c r="J377" s="4">
        <v>180</v>
      </c>
      <c r="W377" s="5">
        <v>1</v>
      </c>
      <c r="Y377" s="5">
        <v>1</v>
      </c>
      <c r="AA377" s="5">
        <v>1</v>
      </c>
      <c r="AF377" s="7">
        <f t="shared" si="5"/>
        <v>3</v>
      </c>
    </row>
    <row r="378" spans="1:32" ht="15" customHeight="1" x14ac:dyDescent="0.25">
      <c r="A378" t="str">
        <f>IFERROR(_xlfn.XLOOKUP(--F378,[1]imagenes!$D:$D,[1]imagenes!$A:$A),"")</f>
        <v/>
      </c>
      <c r="B378" s="2" t="s">
        <v>951</v>
      </c>
      <c r="C378" s="2" t="s">
        <v>502</v>
      </c>
      <c r="D378" s="2" t="s">
        <v>134</v>
      </c>
      <c r="E378" s="2" t="s">
        <v>550</v>
      </c>
      <c r="F378" s="2" t="s">
        <v>661</v>
      </c>
      <c r="G378" s="2" t="s">
        <v>662</v>
      </c>
      <c r="H378" s="2"/>
      <c r="I378" s="3">
        <v>55</v>
      </c>
      <c r="J378" s="4">
        <v>180</v>
      </c>
      <c r="S378" s="5">
        <v>1</v>
      </c>
      <c r="U378" s="5">
        <v>1</v>
      </c>
      <c r="W378" s="5">
        <v>1</v>
      </c>
      <c r="AF378" s="7">
        <f t="shared" si="5"/>
        <v>3</v>
      </c>
    </row>
    <row r="379" spans="1:32" ht="15" customHeight="1" x14ac:dyDescent="0.25">
      <c r="A379" t="str">
        <f>IFERROR(_xlfn.XLOOKUP(--F379,[1]imagenes!$D:$D,[1]imagenes!$A:$A),"")</f>
        <v/>
      </c>
      <c r="B379" s="2" t="s">
        <v>951</v>
      </c>
      <c r="C379" s="2" t="s">
        <v>33</v>
      </c>
      <c r="D379" s="2" t="s">
        <v>34</v>
      </c>
      <c r="E379" s="2" t="s">
        <v>126</v>
      </c>
      <c r="F379" s="2" t="s">
        <v>129</v>
      </c>
      <c r="G379" s="2" t="s">
        <v>130</v>
      </c>
      <c r="H379" s="2"/>
      <c r="I379" s="3">
        <v>43</v>
      </c>
      <c r="J379" s="4">
        <v>155</v>
      </c>
      <c r="W379" s="5">
        <v>1</v>
      </c>
      <c r="Y379" s="5">
        <v>1</v>
      </c>
      <c r="AA379" s="5">
        <v>1</v>
      </c>
      <c r="AF379" s="7">
        <f t="shared" si="5"/>
        <v>3</v>
      </c>
    </row>
    <row r="380" spans="1:32" ht="15" customHeight="1" x14ac:dyDescent="0.25">
      <c r="A380" t="str">
        <f>IFERROR(_xlfn.XLOOKUP(--F380,[1]imagenes!$D:$D,[1]imagenes!$A:$A),"")</f>
        <v/>
      </c>
      <c r="B380" s="2" t="s">
        <v>951</v>
      </c>
      <c r="C380" s="2" t="s">
        <v>33</v>
      </c>
      <c r="D380" s="2" t="s">
        <v>34</v>
      </c>
      <c r="E380" s="2" t="s">
        <v>126</v>
      </c>
      <c r="F380" s="2" t="s">
        <v>127</v>
      </c>
      <c r="G380" s="2" t="s">
        <v>128</v>
      </c>
      <c r="H380" s="2"/>
      <c r="I380" s="3">
        <v>43</v>
      </c>
      <c r="J380" s="4">
        <v>155</v>
      </c>
      <c r="W380" s="5">
        <v>1</v>
      </c>
      <c r="Y380" s="5">
        <v>1</v>
      </c>
      <c r="AA380" s="5">
        <v>1</v>
      </c>
      <c r="AF380" s="7">
        <f t="shared" si="5"/>
        <v>3</v>
      </c>
    </row>
    <row r="381" spans="1:32" ht="15" customHeight="1" x14ac:dyDescent="0.25">
      <c r="A381" t="str">
        <f>IFERROR(_xlfn.XLOOKUP(--F381,[1]imagenes!$D:$D,[1]imagenes!$A:$A),"")</f>
        <v/>
      </c>
      <c r="B381" s="2" t="s">
        <v>951</v>
      </c>
      <c r="C381" s="2"/>
      <c r="D381" s="2" t="s">
        <v>34</v>
      </c>
      <c r="E381" s="2" t="s">
        <v>73</v>
      </c>
      <c r="F381" s="2" t="s">
        <v>928</v>
      </c>
      <c r="G381" s="2" t="s">
        <v>929</v>
      </c>
      <c r="H381" s="2"/>
      <c r="I381" s="3">
        <v>48</v>
      </c>
      <c r="J381" s="4">
        <v>150</v>
      </c>
      <c r="Y381" s="5">
        <v>1</v>
      </c>
      <c r="AA381" s="5">
        <v>1</v>
      </c>
      <c r="AF381" s="7">
        <f t="shared" si="5"/>
        <v>2</v>
      </c>
    </row>
    <row r="382" spans="1:32" ht="15" customHeight="1" x14ac:dyDescent="0.25">
      <c r="A382" t="str">
        <f>IFERROR(_xlfn.XLOOKUP(--F382,[1]imagenes!$D:$D,[1]imagenes!$A:$A),"")</f>
        <v/>
      </c>
      <c r="B382" s="2" t="s">
        <v>951</v>
      </c>
      <c r="C382" s="2" t="s">
        <v>502</v>
      </c>
      <c r="D382" s="2" t="s">
        <v>34</v>
      </c>
      <c r="E382" s="2" t="s">
        <v>529</v>
      </c>
      <c r="F382" s="2" t="s">
        <v>530</v>
      </c>
      <c r="G382" s="2" t="s">
        <v>531</v>
      </c>
      <c r="H382" s="2"/>
      <c r="I382" s="3">
        <v>47</v>
      </c>
      <c r="J382" s="4">
        <v>150</v>
      </c>
      <c r="AE382" s="6">
        <v>3</v>
      </c>
      <c r="AF382" s="7">
        <f t="shared" si="5"/>
        <v>0</v>
      </c>
    </row>
    <row r="383" spans="1:32" ht="15" customHeight="1" x14ac:dyDescent="0.25">
      <c r="A383" t="str">
        <f>IFERROR(_xlfn.XLOOKUP(--F383,[1]imagenes!$D:$D,[1]imagenes!$A:$A),"")</f>
        <v/>
      </c>
      <c r="B383" s="2" t="s">
        <v>951</v>
      </c>
      <c r="C383" s="2" t="s">
        <v>33</v>
      </c>
      <c r="D383" s="2" t="s">
        <v>134</v>
      </c>
      <c r="E383" s="2" t="s">
        <v>73</v>
      </c>
      <c r="F383" s="2" t="s">
        <v>228</v>
      </c>
      <c r="G383" s="2" t="s">
        <v>229</v>
      </c>
      <c r="H383" s="2"/>
      <c r="I383" s="3">
        <v>48</v>
      </c>
      <c r="J383" s="4">
        <v>150</v>
      </c>
      <c r="S383" s="5">
        <v>1</v>
      </c>
      <c r="U383" s="5">
        <v>1</v>
      </c>
      <c r="W383" s="5">
        <v>1</v>
      </c>
      <c r="AF383" s="7">
        <f t="shared" si="5"/>
        <v>3</v>
      </c>
    </row>
    <row r="384" spans="1:32" ht="15" customHeight="1" x14ac:dyDescent="0.25">
      <c r="A384" t="str">
        <f>IFERROR(_xlfn.XLOOKUP(--F384,[1]imagenes!$D:$D,[1]imagenes!$A:$A),"")</f>
        <v/>
      </c>
      <c r="B384" s="2" t="s">
        <v>951</v>
      </c>
      <c r="C384" s="2"/>
      <c r="D384" s="2" t="s">
        <v>134</v>
      </c>
      <c r="E384" s="2" t="s">
        <v>73</v>
      </c>
      <c r="F384" s="2" t="s">
        <v>868</v>
      </c>
      <c r="G384" s="2" t="s">
        <v>869</v>
      </c>
      <c r="H384" s="2"/>
      <c r="I384" s="3">
        <v>48</v>
      </c>
      <c r="J384" s="4">
        <v>150</v>
      </c>
      <c r="U384" s="5">
        <v>1</v>
      </c>
      <c r="W384" s="5">
        <v>1</v>
      </c>
      <c r="AF384" s="7">
        <f t="shared" si="5"/>
        <v>2</v>
      </c>
    </row>
    <row r="385" spans="1:32" ht="15" customHeight="1" x14ac:dyDescent="0.25">
      <c r="A385" t="str">
        <f>IFERROR(_xlfn.XLOOKUP(--F385,[1]imagenes!$D:$D,[1]imagenes!$A:$A),"")</f>
        <v/>
      </c>
      <c r="B385" s="2" t="s">
        <v>951</v>
      </c>
      <c r="C385" s="2" t="s">
        <v>33</v>
      </c>
      <c r="D385" s="2" t="s">
        <v>134</v>
      </c>
      <c r="E385" s="2" t="s">
        <v>73</v>
      </c>
      <c r="F385" s="2" t="s">
        <v>225</v>
      </c>
      <c r="G385" s="2" t="s">
        <v>226</v>
      </c>
      <c r="H385" s="2"/>
      <c r="I385" s="3">
        <v>48</v>
      </c>
      <c r="J385" s="4">
        <v>150</v>
      </c>
      <c r="U385" s="5">
        <v>1</v>
      </c>
      <c r="V385" s="5">
        <v>1</v>
      </c>
      <c r="W385" s="5">
        <v>1</v>
      </c>
      <c r="AF385" s="7">
        <f t="shared" si="5"/>
        <v>3</v>
      </c>
    </row>
    <row r="386" spans="1:32" ht="15" customHeight="1" x14ac:dyDescent="0.25">
      <c r="A386" t="str">
        <f>IFERROR(_xlfn.XLOOKUP(--F386,[1]imagenes!$D:$D,[1]imagenes!$A:$A),"")</f>
        <v/>
      </c>
      <c r="B386" s="2" t="s">
        <v>951</v>
      </c>
      <c r="C386" s="2"/>
      <c r="D386" s="2" t="s">
        <v>134</v>
      </c>
      <c r="E386" s="2" t="s">
        <v>100</v>
      </c>
      <c r="F386" s="2" t="s">
        <v>979</v>
      </c>
      <c r="G386" s="2" t="s">
        <v>980</v>
      </c>
      <c r="H386" s="2"/>
      <c r="I386" s="3">
        <v>33</v>
      </c>
      <c r="J386" s="4">
        <v>115</v>
      </c>
      <c r="V386" s="5">
        <v>1</v>
      </c>
      <c r="W386" s="5">
        <v>1</v>
      </c>
      <c r="AF386" s="7">
        <f t="shared" ref="AF386:AF425" si="6">SUM(K386:AD386)</f>
        <v>2</v>
      </c>
    </row>
    <row r="387" spans="1:32" ht="15" customHeight="1" x14ac:dyDescent="0.25">
      <c r="A387" t="str">
        <f>IFERROR(_xlfn.XLOOKUP(--F387,[1]imagenes!$D:$D,[1]imagenes!$A:$A),"")</f>
        <v/>
      </c>
      <c r="B387" s="2" t="s">
        <v>951</v>
      </c>
      <c r="C387" s="2" t="s">
        <v>33</v>
      </c>
      <c r="D387" s="2" t="s">
        <v>134</v>
      </c>
      <c r="E387" s="2" t="s">
        <v>100</v>
      </c>
      <c r="F387" s="2" t="s">
        <v>284</v>
      </c>
      <c r="G387" s="2" t="s">
        <v>285</v>
      </c>
      <c r="H387" s="2"/>
      <c r="I387" s="3">
        <v>33</v>
      </c>
      <c r="J387" s="4">
        <v>115</v>
      </c>
      <c r="U387" s="5">
        <v>1</v>
      </c>
      <c r="V387" s="5">
        <v>1</v>
      </c>
      <c r="W387" s="5">
        <v>1</v>
      </c>
      <c r="AF387" s="7">
        <f t="shared" si="6"/>
        <v>3</v>
      </c>
    </row>
    <row r="388" spans="1:32" ht="15" customHeight="1" x14ac:dyDescent="0.25">
      <c r="A388" t="str">
        <f>IFERROR(_xlfn.XLOOKUP(--F388,[1]imagenes!$D:$D,[1]imagenes!$A:$A),"")</f>
        <v/>
      </c>
      <c r="B388" s="2" t="s">
        <v>951</v>
      </c>
      <c r="C388" s="2"/>
      <c r="D388" s="2" t="s">
        <v>134</v>
      </c>
      <c r="E388" s="2" t="s">
        <v>100</v>
      </c>
      <c r="F388" s="2" t="s">
        <v>981</v>
      </c>
      <c r="G388" s="2" t="s">
        <v>982</v>
      </c>
      <c r="H388" s="2"/>
      <c r="I388" s="3">
        <v>33</v>
      </c>
      <c r="J388" s="4">
        <v>115</v>
      </c>
      <c r="U388" s="5">
        <v>1</v>
      </c>
      <c r="V388" s="5">
        <v>1</v>
      </c>
      <c r="W388" s="5">
        <v>1</v>
      </c>
      <c r="AF388" s="7">
        <f t="shared" si="6"/>
        <v>3</v>
      </c>
    </row>
    <row r="389" spans="1:32" ht="15" customHeight="1" x14ac:dyDescent="0.25">
      <c r="A389" t="str">
        <f>IFERROR(_xlfn.XLOOKUP(--F389,[1]imagenes!$D:$D,[1]imagenes!$A:$A),"")</f>
        <v/>
      </c>
      <c r="B389" s="2" t="s">
        <v>951</v>
      </c>
      <c r="C389" s="2" t="s">
        <v>332</v>
      </c>
      <c r="D389" s="2" t="s">
        <v>134</v>
      </c>
      <c r="E389" s="2" t="s">
        <v>337</v>
      </c>
      <c r="F389" s="2" t="s">
        <v>417</v>
      </c>
      <c r="G389" s="2" t="s">
        <v>418</v>
      </c>
      <c r="H389" s="2"/>
      <c r="I389" s="3">
        <v>33.5</v>
      </c>
      <c r="J389" s="4">
        <v>120</v>
      </c>
      <c r="S389" s="5">
        <v>1</v>
      </c>
      <c r="T389" s="5">
        <v>1</v>
      </c>
      <c r="U389" s="5">
        <v>1</v>
      </c>
      <c r="V389" s="5">
        <v>1</v>
      </c>
      <c r="W389" s="5">
        <v>1</v>
      </c>
      <c r="X389" s="5">
        <v>1</v>
      </c>
      <c r="Y389" s="5">
        <v>1</v>
      </c>
      <c r="AA389" s="5">
        <v>1</v>
      </c>
      <c r="AF389" s="7">
        <f t="shared" si="6"/>
        <v>8</v>
      </c>
    </row>
    <row r="390" spans="1:32" ht="15" customHeight="1" x14ac:dyDescent="0.25">
      <c r="A390" t="str">
        <f>IFERROR(_xlfn.XLOOKUP(--F390,[1]imagenes!$D:$D,[1]imagenes!$A:$A),"")</f>
        <v/>
      </c>
      <c r="B390" s="2" t="s">
        <v>951</v>
      </c>
      <c r="C390" s="2" t="s">
        <v>332</v>
      </c>
      <c r="D390" s="2" t="s">
        <v>34</v>
      </c>
      <c r="E390" s="2" t="s">
        <v>337</v>
      </c>
      <c r="F390" s="2" t="s">
        <v>341</v>
      </c>
      <c r="G390" s="2" t="s">
        <v>342</v>
      </c>
      <c r="H390" s="2"/>
      <c r="I390" s="3">
        <v>33.5</v>
      </c>
      <c r="J390" s="4">
        <v>120</v>
      </c>
      <c r="U390" s="5">
        <v>1</v>
      </c>
      <c r="V390" s="5">
        <v>1</v>
      </c>
      <c r="W390" s="5">
        <v>1</v>
      </c>
      <c r="X390" s="5">
        <v>1</v>
      </c>
      <c r="Z390" s="5">
        <v>1</v>
      </c>
      <c r="AA390" s="5">
        <v>1</v>
      </c>
      <c r="AB390" s="5">
        <v>1</v>
      </c>
      <c r="AF390" s="7">
        <f t="shared" si="6"/>
        <v>7</v>
      </c>
    </row>
    <row r="391" spans="1:32" ht="15" customHeight="1" x14ac:dyDescent="0.25">
      <c r="A391" t="str">
        <f>IFERROR(_xlfn.XLOOKUP(--F391,[1]imagenes!$D:$D,[1]imagenes!$A:$A),"")</f>
        <v/>
      </c>
      <c r="B391" s="2" t="s">
        <v>951</v>
      </c>
      <c r="C391" s="2" t="s">
        <v>332</v>
      </c>
      <c r="D391" s="2" t="s">
        <v>34</v>
      </c>
      <c r="E391" s="2" t="s">
        <v>337</v>
      </c>
      <c r="F391" s="2" t="s">
        <v>344</v>
      </c>
      <c r="G391" s="2" t="s">
        <v>345</v>
      </c>
      <c r="H391" s="2"/>
      <c r="I391" s="3">
        <v>33.5</v>
      </c>
      <c r="J391" s="4">
        <v>120</v>
      </c>
      <c r="U391" s="5">
        <v>1</v>
      </c>
      <c r="V391" s="5">
        <v>1</v>
      </c>
      <c r="W391" s="5">
        <v>1</v>
      </c>
      <c r="X391" s="5">
        <v>1</v>
      </c>
      <c r="Y391" s="5">
        <v>1</v>
      </c>
      <c r="Z391" s="5">
        <v>1</v>
      </c>
      <c r="AA391" s="5">
        <v>1</v>
      </c>
      <c r="AB391" s="5">
        <v>1</v>
      </c>
      <c r="AC391" s="5">
        <v>1</v>
      </c>
      <c r="AF391" s="7">
        <f t="shared" si="6"/>
        <v>9</v>
      </c>
    </row>
    <row r="392" spans="1:32" ht="15" customHeight="1" x14ac:dyDescent="0.25">
      <c r="A392" t="str">
        <f>IFERROR(_xlfn.XLOOKUP(--F392,[1]imagenes!$D:$D,[1]imagenes!$A:$A),"")</f>
        <v/>
      </c>
      <c r="B392" s="2" t="s">
        <v>951</v>
      </c>
      <c r="C392" s="2" t="s">
        <v>332</v>
      </c>
      <c r="D392" s="2" t="s">
        <v>34</v>
      </c>
      <c r="E392" s="2" t="s">
        <v>337</v>
      </c>
      <c r="F392" s="2" t="s">
        <v>346</v>
      </c>
      <c r="G392" s="2" t="s">
        <v>347</v>
      </c>
      <c r="H392" s="2"/>
      <c r="I392" s="3">
        <v>33.5</v>
      </c>
      <c r="J392" s="4">
        <v>120</v>
      </c>
      <c r="U392" s="5">
        <v>1</v>
      </c>
      <c r="Y392" s="5">
        <v>1</v>
      </c>
      <c r="AF392" s="7">
        <f t="shared" si="6"/>
        <v>2</v>
      </c>
    </row>
    <row r="393" spans="1:32" ht="15" customHeight="1" x14ac:dyDescent="0.25">
      <c r="A393" t="str">
        <f>IFERROR(_xlfn.XLOOKUP(--F393,[1]imagenes!$D:$D,[1]imagenes!$A:$A),"")</f>
        <v/>
      </c>
      <c r="B393" s="2" t="s">
        <v>951</v>
      </c>
      <c r="C393" s="2" t="s">
        <v>332</v>
      </c>
      <c r="D393" s="2" t="s">
        <v>134</v>
      </c>
      <c r="E393" s="2" t="s">
        <v>471</v>
      </c>
      <c r="F393" s="2" t="s">
        <v>478</v>
      </c>
      <c r="G393" s="2" t="s">
        <v>479</v>
      </c>
      <c r="H393" s="2"/>
      <c r="I393" s="3">
        <v>31.5</v>
      </c>
      <c r="J393" s="4">
        <v>120</v>
      </c>
      <c r="S393" s="5">
        <v>1</v>
      </c>
      <c r="U393" s="5">
        <v>1</v>
      </c>
      <c r="W393" s="5">
        <v>1</v>
      </c>
      <c r="AF393" s="7">
        <f t="shared" si="6"/>
        <v>3</v>
      </c>
    </row>
    <row r="394" spans="1:32" ht="15" customHeight="1" x14ac:dyDescent="0.25">
      <c r="A394" t="str">
        <f>IFERROR(_xlfn.XLOOKUP(--F394,[1]imagenes!$D:$D,[1]imagenes!$A:$A),"")</f>
        <v/>
      </c>
      <c r="B394" s="2" t="s">
        <v>951</v>
      </c>
      <c r="C394" s="2" t="s">
        <v>332</v>
      </c>
      <c r="D394" s="2" t="s">
        <v>34</v>
      </c>
      <c r="E394" s="2" t="s">
        <v>337</v>
      </c>
      <c r="F394" s="2" t="s">
        <v>338</v>
      </c>
      <c r="G394" s="2" t="s">
        <v>339</v>
      </c>
      <c r="H394" s="2"/>
      <c r="I394" s="3">
        <v>33.5</v>
      </c>
      <c r="J394" s="4">
        <v>120</v>
      </c>
      <c r="U394" s="5">
        <v>1</v>
      </c>
      <c r="W394" s="5">
        <v>1</v>
      </c>
      <c r="AF394" s="7">
        <f t="shared" si="6"/>
        <v>2</v>
      </c>
    </row>
    <row r="395" spans="1:32" ht="15" customHeight="1" x14ac:dyDescent="0.25">
      <c r="A395" t="str">
        <f>IFERROR(_xlfn.XLOOKUP(--F395,[1]imagenes!$D:$D,[1]imagenes!$A:$A),"")</f>
        <v/>
      </c>
      <c r="B395" s="2" t="s">
        <v>951</v>
      </c>
      <c r="C395" s="2"/>
      <c r="D395" s="2" t="s">
        <v>34</v>
      </c>
      <c r="E395" s="2" t="s">
        <v>983</v>
      </c>
      <c r="F395" s="2" t="s">
        <v>984</v>
      </c>
      <c r="G395" s="2" t="s">
        <v>985</v>
      </c>
      <c r="H395" s="2"/>
      <c r="I395" s="3">
        <v>35.5</v>
      </c>
      <c r="J395" s="4">
        <v>135</v>
      </c>
      <c r="U395" s="5">
        <v>1</v>
      </c>
      <c r="W395" s="5">
        <v>1</v>
      </c>
      <c r="Y395" s="5">
        <v>1</v>
      </c>
      <c r="AF395" s="7">
        <f t="shared" si="6"/>
        <v>3</v>
      </c>
    </row>
    <row r="396" spans="1:32" ht="15" customHeight="1" x14ac:dyDescent="0.25">
      <c r="A396" t="str">
        <f>IFERROR(_xlfn.XLOOKUP(--F396,[1]imagenes!$D:$D,[1]imagenes!$A:$A),"")</f>
        <v/>
      </c>
      <c r="B396" s="2" t="s">
        <v>951</v>
      </c>
      <c r="C396" s="2" t="s">
        <v>332</v>
      </c>
      <c r="D396" s="2" t="s">
        <v>134</v>
      </c>
      <c r="E396" s="2" t="s">
        <v>337</v>
      </c>
      <c r="F396" s="2" t="s">
        <v>421</v>
      </c>
      <c r="G396" s="2" t="s">
        <v>422</v>
      </c>
      <c r="H396" s="2"/>
      <c r="I396" s="3">
        <v>33.5</v>
      </c>
      <c r="J396" s="4">
        <v>120</v>
      </c>
      <c r="S396" s="5">
        <v>1</v>
      </c>
      <c r="U396" s="5">
        <v>1</v>
      </c>
      <c r="W396" s="5">
        <v>1</v>
      </c>
      <c r="AF396" s="7">
        <f t="shared" si="6"/>
        <v>3</v>
      </c>
    </row>
    <row r="397" spans="1:32" ht="15" customHeight="1" x14ac:dyDescent="0.25">
      <c r="A397" t="str">
        <f>IFERROR(_xlfn.XLOOKUP(--F397,[1]imagenes!$D:$D,[1]imagenes!$A:$A),"")</f>
        <v/>
      </c>
      <c r="B397" s="2" t="s">
        <v>951</v>
      </c>
      <c r="C397" s="2" t="s">
        <v>33</v>
      </c>
      <c r="D397" s="2" t="s">
        <v>134</v>
      </c>
      <c r="E397" s="2" t="s">
        <v>100</v>
      </c>
      <c r="F397" s="2" t="s">
        <v>276</v>
      </c>
      <c r="G397" s="2" t="s">
        <v>277</v>
      </c>
      <c r="H397" s="2"/>
      <c r="I397" s="3">
        <v>33</v>
      </c>
      <c r="J397" s="4">
        <v>115</v>
      </c>
      <c r="S397" s="5">
        <v>1</v>
      </c>
      <c r="W397" s="5">
        <v>1</v>
      </c>
      <c r="AF397" s="7">
        <f t="shared" si="6"/>
        <v>2</v>
      </c>
    </row>
    <row r="398" spans="1:32" ht="15" customHeight="1" x14ac:dyDescent="0.25">
      <c r="A398" t="str">
        <f>IFERROR(_xlfn.XLOOKUP(--F398,[1]imagenes!$D:$D,[1]imagenes!$A:$A),"")</f>
        <v/>
      </c>
      <c r="B398" s="2" t="s">
        <v>951</v>
      </c>
      <c r="C398" s="2"/>
      <c r="D398" s="2" t="s">
        <v>34</v>
      </c>
      <c r="E398" s="2" t="s">
        <v>100</v>
      </c>
      <c r="F398" s="2" t="s">
        <v>986</v>
      </c>
      <c r="G398" s="2" t="s">
        <v>987</v>
      </c>
      <c r="H398" s="2"/>
      <c r="I398" s="3">
        <v>33</v>
      </c>
      <c r="J398" s="4">
        <v>115</v>
      </c>
      <c r="W398" s="5">
        <v>1</v>
      </c>
      <c r="Y398" s="5">
        <v>1</v>
      </c>
      <c r="AA398" s="5">
        <v>1</v>
      </c>
      <c r="AF398" s="7">
        <f t="shared" si="6"/>
        <v>3</v>
      </c>
    </row>
    <row r="399" spans="1:32" ht="15" customHeight="1" x14ac:dyDescent="0.25">
      <c r="A399" t="str">
        <f>IFERROR(_xlfn.XLOOKUP(--F399,[1]imagenes!$D:$D,[1]imagenes!$A:$A),"")</f>
        <v/>
      </c>
      <c r="B399" s="2" t="s">
        <v>951</v>
      </c>
      <c r="C399" s="2" t="s">
        <v>332</v>
      </c>
      <c r="D399" s="2" t="s">
        <v>134</v>
      </c>
      <c r="E399" s="2" t="s">
        <v>471</v>
      </c>
      <c r="F399" s="2" t="s">
        <v>475</v>
      </c>
      <c r="G399" s="2" t="s">
        <v>476</v>
      </c>
      <c r="H399" s="2"/>
      <c r="I399" s="3">
        <v>31.5</v>
      </c>
      <c r="J399" s="4">
        <v>120</v>
      </c>
      <c r="S399" s="5">
        <v>1</v>
      </c>
      <c r="W399" s="5">
        <v>1</v>
      </c>
      <c r="AF399" s="7">
        <f t="shared" si="6"/>
        <v>2</v>
      </c>
    </row>
    <row r="400" spans="1:32" ht="15" customHeight="1" x14ac:dyDescent="0.25">
      <c r="A400" t="str">
        <f>IFERROR(_xlfn.XLOOKUP(--F400,[1]imagenes!$D:$D,[1]imagenes!$A:$A),"")</f>
        <v/>
      </c>
      <c r="B400" s="2" t="s">
        <v>951</v>
      </c>
      <c r="C400" s="2"/>
      <c r="D400" s="2" t="s">
        <v>34</v>
      </c>
      <c r="E400" s="2" t="s">
        <v>519</v>
      </c>
      <c r="F400" s="2" t="s">
        <v>988</v>
      </c>
      <c r="G400" s="2" t="s">
        <v>989</v>
      </c>
      <c r="H400" s="2"/>
      <c r="I400" s="3">
        <v>47</v>
      </c>
      <c r="J400" s="4">
        <v>150</v>
      </c>
      <c r="U400" s="5">
        <v>1</v>
      </c>
      <c r="W400" s="5">
        <v>1</v>
      </c>
      <c r="AF400" s="7">
        <f t="shared" si="6"/>
        <v>2</v>
      </c>
    </row>
    <row r="401" spans="1:32" ht="15" customHeight="1" x14ac:dyDescent="0.25">
      <c r="A401" t="str">
        <f>IFERROR(_xlfn.XLOOKUP(--F401,[1]imagenes!$D:$D,[1]imagenes!$A:$A),"")</f>
        <v/>
      </c>
      <c r="B401" s="2" t="s">
        <v>951</v>
      </c>
      <c r="C401" s="2" t="s">
        <v>502</v>
      </c>
      <c r="D401" s="2" t="s">
        <v>34</v>
      </c>
      <c r="E401" s="2" t="s">
        <v>519</v>
      </c>
      <c r="F401" s="2" t="s">
        <v>526</v>
      </c>
      <c r="G401" s="2" t="s">
        <v>527</v>
      </c>
      <c r="H401" s="2"/>
      <c r="I401" s="3">
        <v>47</v>
      </c>
      <c r="J401" s="4">
        <v>150</v>
      </c>
      <c r="U401" s="5">
        <v>1</v>
      </c>
      <c r="W401" s="5">
        <v>1</v>
      </c>
      <c r="AF401" s="7">
        <f t="shared" si="6"/>
        <v>2</v>
      </c>
    </row>
    <row r="402" spans="1:32" ht="15" customHeight="1" x14ac:dyDescent="0.25">
      <c r="A402" t="str">
        <f>IFERROR(_xlfn.XLOOKUP(--F402,[1]imagenes!$D:$D,[1]imagenes!$A:$A),"")</f>
        <v/>
      </c>
      <c r="B402" s="2" t="s">
        <v>951</v>
      </c>
      <c r="C402" s="2"/>
      <c r="D402" s="2" t="s">
        <v>34</v>
      </c>
      <c r="E402" s="2" t="s">
        <v>983</v>
      </c>
      <c r="F402" s="2" t="s">
        <v>990</v>
      </c>
      <c r="G402" s="2" t="s">
        <v>991</v>
      </c>
      <c r="H402" s="2"/>
      <c r="I402" s="3">
        <v>35.5</v>
      </c>
      <c r="J402" s="4">
        <v>135</v>
      </c>
      <c r="U402" s="5">
        <v>1</v>
      </c>
      <c r="W402" s="5">
        <v>1</v>
      </c>
      <c r="Y402" s="5">
        <v>1</v>
      </c>
      <c r="AF402" s="7">
        <f t="shared" si="6"/>
        <v>3</v>
      </c>
    </row>
    <row r="403" spans="1:32" ht="15" customHeight="1" x14ac:dyDescent="0.25">
      <c r="A403" t="str">
        <f>IFERROR(_xlfn.XLOOKUP(--F403,[1]imagenes!$D:$D,[1]imagenes!$A:$A),"")</f>
        <v/>
      </c>
      <c r="B403" s="2" t="s">
        <v>951</v>
      </c>
      <c r="C403" s="2" t="s">
        <v>332</v>
      </c>
      <c r="D403" s="2" t="s">
        <v>34</v>
      </c>
      <c r="E403" s="2" t="s">
        <v>337</v>
      </c>
      <c r="F403" s="2" t="s">
        <v>354</v>
      </c>
      <c r="G403" s="2" t="s">
        <v>355</v>
      </c>
      <c r="H403" s="2"/>
      <c r="I403" s="3">
        <v>33.5</v>
      </c>
      <c r="J403" s="4">
        <v>120</v>
      </c>
      <c r="U403" s="5">
        <v>1</v>
      </c>
      <c r="W403" s="5">
        <v>1</v>
      </c>
      <c r="Y403" s="5">
        <v>1</v>
      </c>
      <c r="AF403" s="7">
        <f t="shared" si="6"/>
        <v>3</v>
      </c>
    </row>
    <row r="404" spans="1:32" ht="15" customHeight="1" x14ac:dyDescent="0.25">
      <c r="A404" t="str">
        <f>IFERROR(_xlfn.XLOOKUP(--F404,[1]imagenes!$D:$D,[1]imagenes!$A:$A),"")</f>
        <v/>
      </c>
      <c r="B404" s="2" t="s">
        <v>951</v>
      </c>
      <c r="C404" s="2" t="s">
        <v>33</v>
      </c>
      <c r="D404" s="2" t="s">
        <v>34</v>
      </c>
      <c r="E404" s="2" t="s">
        <v>100</v>
      </c>
      <c r="F404" s="2" t="s">
        <v>101</v>
      </c>
      <c r="G404" s="2" t="s">
        <v>102</v>
      </c>
      <c r="H404" s="2"/>
      <c r="I404" s="3">
        <v>33</v>
      </c>
      <c r="J404" s="4">
        <v>115</v>
      </c>
      <c r="W404" s="5">
        <v>1</v>
      </c>
      <c r="Y404" s="5">
        <v>1</v>
      </c>
      <c r="AA404" s="5">
        <v>1</v>
      </c>
      <c r="AF404" s="7">
        <f t="shared" si="6"/>
        <v>3</v>
      </c>
    </row>
    <row r="405" spans="1:32" ht="15" customHeight="1" x14ac:dyDescent="0.25">
      <c r="A405" t="str">
        <f>IFERROR(_xlfn.XLOOKUP(--F405,[1]imagenes!$D:$D,[1]imagenes!$A:$A),"")</f>
        <v/>
      </c>
      <c r="B405" s="2" t="s">
        <v>951</v>
      </c>
      <c r="C405" s="2" t="s">
        <v>332</v>
      </c>
      <c r="D405" s="2" t="s">
        <v>134</v>
      </c>
      <c r="E405" s="2" t="s">
        <v>337</v>
      </c>
      <c r="F405" s="2" t="s">
        <v>423</v>
      </c>
      <c r="G405" s="2" t="s">
        <v>424</v>
      </c>
      <c r="H405" s="2"/>
      <c r="I405" s="3">
        <v>33.5</v>
      </c>
      <c r="J405" s="4">
        <v>120</v>
      </c>
      <c r="S405" s="5">
        <v>1</v>
      </c>
      <c r="U405" s="5">
        <v>1</v>
      </c>
      <c r="W405" s="5">
        <v>1</v>
      </c>
      <c r="AF405" s="7">
        <f t="shared" si="6"/>
        <v>3</v>
      </c>
    </row>
    <row r="406" spans="1:32" ht="15" customHeight="1" x14ac:dyDescent="0.25">
      <c r="A406" t="str">
        <f>IFERROR(_xlfn.XLOOKUP(--F406,[1]imagenes!$D:$D,[1]imagenes!$A:$A),"")</f>
        <v/>
      </c>
      <c r="B406" s="2" t="s">
        <v>951</v>
      </c>
      <c r="C406" s="2"/>
      <c r="D406" s="2" t="s">
        <v>34</v>
      </c>
      <c r="E406" s="2" t="s">
        <v>337</v>
      </c>
      <c r="F406" s="2" t="s">
        <v>874</v>
      </c>
      <c r="G406" s="2" t="s">
        <v>875</v>
      </c>
      <c r="H406" s="2"/>
      <c r="I406" s="3">
        <v>33.5</v>
      </c>
      <c r="J406" s="4">
        <v>120</v>
      </c>
      <c r="U406" s="5">
        <v>1</v>
      </c>
      <c r="V406" s="5">
        <v>1</v>
      </c>
      <c r="W406" s="5">
        <v>1</v>
      </c>
      <c r="AF406" s="7">
        <f t="shared" si="6"/>
        <v>3</v>
      </c>
    </row>
    <row r="407" spans="1:32" ht="15" customHeight="1" x14ac:dyDescent="0.25">
      <c r="A407" t="str">
        <f>IFERROR(_xlfn.XLOOKUP(--F407,[1]imagenes!$D:$D,[1]imagenes!$A:$A),"")</f>
        <v/>
      </c>
      <c r="B407" s="2" t="s">
        <v>951</v>
      </c>
      <c r="C407" s="2"/>
      <c r="D407" s="2" t="s">
        <v>134</v>
      </c>
      <c r="E407" s="2" t="s">
        <v>337</v>
      </c>
      <c r="F407" s="2" t="s">
        <v>865</v>
      </c>
      <c r="G407" s="2" t="s">
        <v>866</v>
      </c>
      <c r="H407" s="2"/>
      <c r="I407" s="3">
        <v>33.5</v>
      </c>
      <c r="J407" s="4">
        <v>120</v>
      </c>
      <c r="Q407" s="5">
        <v>1</v>
      </c>
      <c r="U407" s="5">
        <v>1</v>
      </c>
      <c r="Y407" s="5">
        <v>1</v>
      </c>
      <c r="AF407" s="7">
        <f t="shared" si="6"/>
        <v>3</v>
      </c>
    </row>
    <row r="408" spans="1:32" ht="15" customHeight="1" x14ac:dyDescent="0.25">
      <c r="A408" t="str">
        <f>IFERROR(_xlfn.XLOOKUP(--F408,[1]imagenes!$D:$D,[1]imagenes!$A:$A),"")</f>
        <v/>
      </c>
      <c r="B408" s="2" t="s">
        <v>951</v>
      </c>
      <c r="C408" s="2" t="s">
        <v>33</v>
      </c>
      <c r="D408" s="2" t="s">
        <v>134</v>
      </c>
      <c r="E408" s="2" t="s">
        <v>73</v>
      </c>
      <c r="F408" s="2" t="s">
        <v>228</v>
      </c>
      <c r="G408" s="2" t="s">
        <v>229</v>
      </c>
      <c r="H408" s="2"/>
      <c r="I408" s="3">
        <v>48</v>
      </c>
      <c r="J408" s="4">
        <v>150</v>
      </c>
      <c r="S408" s="5">
        <v>1</v>
      </c>
      <c r="T408" s="5">
        <v>1</v>
      </c>
      <c r="U408" s="5">
        <v>1</v>
      </c>
      <c r="AF408" s="7">
        <f t="shared" si="6"/>
        <v>3</v>
      </c>
    </row>
    <row r="409" spans="1:32" ht="15" customHeight="1" x14ac:dyDescent="0.25">
      <c r="A409" t="str">
        <f>IFERROR(_xlfn.XLOOKUP(--F409,[1]imagenes!$D:$D,[1]imagenes!$A:$A),"")</f>
        <v/>
      </c>
      <c r="B409" s="2" t="s">
        <v>951</v>
      </c>
      <c r="C409" s="2"/>
      <c r="D409" s="2" t="s">
        <v>34</v>
      </c>
      <c r="E409" s="2" t="s">
        <v>100</v>
      </c>
      <c r="F409" s="2" t="s">
        <v>880</v>
      </c>
      <c r="G409" s="2" t="s">
        <v>881</v>
      </c>
      <c r="H409" s="2"/>
      <c r="I409" s="3">
        <v>33</v>
      </c>
      <c r="J409" s="4">
        <v>115</v>
      </c>
      <c r="Y409" s="5">
        <v>1</v>
      </c>
      <c r="AA409" s="5">
        <v>1</v>
      </c>
      <c r="AC409" s="5">
        <v>1</v>
      </c>
      <c r="AF409" s="7">
        <f t="shared" si="6"/>
        <v>3</v>
      </c>
    </row>
    <row r="410" spans="1:32" ht="15" customHeight="1" x14ac:dyDescent="0.25">
      <c r="A410" t="str">
        <f>IFERROR(_xlfn.XLOOKUP(--F410,[1]imagenes!$D:$D,[1]imagenes!$A:$A),"")</f>
        <v/>
      </c>
      <c r="B410" s="2" t="s">
        <v>951</v>
      </c>
      <c r="C410" s="2"/>
      <c r="D410" s="2" t="s">
        <v>34</v>
      </c>
      <c r="E410" s="2" t="s">
        <v>367</v>
      </c>
      <c r="F410" s="2" t="s">
        <v>857</v>
      </c>
      <c r="G410" s="2" t="s">
        <v>858</v>
      </c>
      <c r="H410" s="2"/>
      <c r="I410" s="3">
        <v>34.5</v>
      </c>
      <c r="J410" s="4">
        <v>130</v>
      </c>
      <c r="U410" s="5">
        <v>1</v>
      </c>
      <c r="W410" s="5">
        <v>1</v>
      </c>
      <c r="Y410" s="5">
        <v>1</v>
      </c>
      <c r="AA410" s="5">
        <v>1</v>
      </c>
      <c r="AF410" s="7">
        <f t="shared" si="6"/>
        <v>4</v>
      </c>
    </row>
    <row r="411" spans="1:32" ht="15" customHeight="1" x14ac:dyDescent="0.25">
      <c r="A411" t="str">
        <f>IFERROR(_xlfn.XLOOKUP(--F411,[1]imagenes!$D:$D,[1]imagenes!$A:$A),"")</f>
        <v/>
      </c>
      <c r="B411" s="2" t="s">
        <v>951</v>
      </c>
      <c r="C411" s="2"/>
      <c r="D411" s="2" t="s">
        <v>134</v>
      </c>
      <c r="E411" s="2" t="s">
        <v>337</v>
      </c>
      <c r="F411" s="2" t="s">
        <v>877</v>
      </c>
      <c r="G411" s="2" t="s">
        <v>878</v>
      </c>
      <c r="H411" s="2"/>
      <c r="I411" s="3">
        <v>33.5</v>
      </c>
      <c r="J411" s="4">
        <v>120</v>
      </c>
      <c r="Q411" s="5">
        <v>1</v>
      </c>
      <c r="S411" s="5">
        <v>1</v>
      </c>
      <c r="AF411" s="7">
        <f t="shared" si="6"/>
        <v>2</v>
      </c>
    </row>
    <row r="412" spans="1:32" ht="15" customHeight="1" x14ac:dyDescent="0.25">
      <c r="A412" t="str">
        <f>IFERROR(_xlfn.XLOOKUP(--F412,[1]imagenes!$D:$D,[1]imagenes!$A:$A),"")</f>
        <v/>
      </c>
      <c r="B412" s="2" t="s">
        <v>951</v>
      </c>
      <c r="C412" s="2"/>
      <c r="D412" s="2" t="s">
        <v>134</v>
      </c>
      <c r="E412" s="2" t="s">
        <v>367</v>
      </c>
      <c r="F412" s="2" t="s">
        <v>860</v>
      </c>
      <c r="G412" s="2" t="s">
        <v>861</v>
      </c>
      <c r="H412" s="2"/>
      <c r="I412" s="3">
        <v>34.5</v>
      </c>
      <c r="J412" s="4">
        <v>130</v>
      </c>
      <c r="Q412" s="5">
        <v>1</v>
      </c>
      <c r="R412" s="5">
        <v>1</v>
      </c>
      <c r="S412" s="5">
        <v>1</v>
      </c>
      <c r="AF412" s="7">
        <f t="shared" si="6"/>
        <v>3</v>
      </c>
    </row>
    <row r="413" spans="1:32" ht="15" customHeight="1" x14ac:dyDescent="0.25">
      <c r="A413" t="str">
        <f>IFERROR(_xlfn.XLOOKUP(--F413,[1]imagenes!$D:$D,[1]imagenes!$A:$A),"")</f>
        <v/>
      </c>
      <c r="B413" s="2" t="s">
        <v>951</v>
      </c>
      <c r="C413" s="2"/>
      <c r="D413" s="2" t="s">
        <v>134</v>
      </c>
      <c r="E413" s="2" t="s">
        <v>608</v>
      </c>
      <c r="F413" s="2" t="s">
        <v>863</v>
      </c>
      <c r="G413" s="2" t="s">
        <v>864</v>
      </c>
      <c r="H413" s="2"/>
      <c r="I413" s="3">
        <v>54</v>
      </c>
      <c r="J413" s="4">
        <v>180</v>
      </c>
      <c r="Q413" s="5">
        <v>1</v>
      </c>
      <c r="R413" s="5">
        <v>1</v>
      </c>
      <c r="S413" s="5">
        <v>1</v>
      </c>
      <c r="T413" s="5">
        <v>1</v>
      </c>
      <c r="U413" s="5">
        <v>1</v>
      </c>
      <c r="AF413" s="7">
        <f t="shared" si="6"/>
        <v>5</v>
      </c>
    </row>
    <row r="414" spans="1:32" ht="15" customHeight="1" x14ac:dyDescent="0.25">
      <c r="A414" t="str">
        <f>IFERROR(_xlfn.XLOOKUP(--F414,[1]imagenes!$D:$D,[1]imagenes!$A:$A),"")</f>
        <v/>
      </c>
      <c r="B414" s="2" t="s">
        <v>951</v>
      </c>
      <c r="C414" s="2"/>
      <c r="D414" s="2" t="s">
        <v>134</v>
      </c>
      <c r="E414" s="2" t="s">
        <v>367</v>
      </c>
      <c r="F414" s="2" t="s">
        <v>883</v>
      </c>
      <c r="G414" s="2" t="s">
        <v>884</v>
      </c>
      <c r="H414" s="2"/>
      <c r="I414" s="3">
        <v>34.5</v>
      </c>
      <c r="J414" s="4">
        <v>130</v>
      </c>
      <c r="Q414" s="5">
        <v>1</v>
      </c>
      <c r="R414" s="5">
        <v>1</v>
      </c>
      <c r="AF414" s="7">
        <f t="shared" si="6"/>
        <v>2</v>
      </c>
    </row>
    <row r="415" spans="1:32" ht="15" customHeight="1" x14ac:dyDescent="0.25">
      <c r="A415" t="str">
        <f>IFERROR(_xlfn.XLOOKUP(--F415,[1]imagenes!$D:$D,[1]imagenes!$A:$A),"")</f>
        <v/>
      </c>
      <c r="B415" s="2" t="s">
        <v>951</v>
      </c>
      <c r="C415" s="2" t="s">
        <v>502</v>
      </c>
      <c r="D415" s="2" t="s">
        <v>34</v>
      </c>
      <c r="E415" s="2" t="s">
        <v>503</v>
      </c>
      <c r="F415" s="2" t="s">
        <v>504</v>
      </c>
      <c r="G415" s="2" t="s">
        <v>505</v>
      </c>
      <c r="H415" s="2"/>
      <c r="I415" s="3">
        <v>49.75</v>
      </c>
      <c r="J415" s="4">
        <v>160</v>
      </c>
      <c r="U415" s="5">
        <v>1</v>
      </c>
      <c r="W415" s="5">
        <v>1</v>
      </c>
      <c r="Y415" s="5">
        <v>1</v>
      </c>
      <c r="AC415" s="5">
        <v>1</v>
      </c>
      <c r="AF415" s="7">
        <f t="shared" si="6"/>
        <v>4</v>
      </c>
    </row>
    <row r="416" spans="1:32" ht="15" customHeight="1" x14ac:dyDescent="0.25">
      <c r="A416" t="str">
        <f>IFERROR(_xlfn.XLOOKUP(--F416,[1]imagenes!$D:$D,[1]imagenes!$A:$A),"")</f>
        <v/>
      </c>
      <c r="B416" s="2" t="s">
        <v>951</v>
      </c>
      <c r="C416" s="2" t="s">
        <v>502</v>
      </c>
      <c r="D416" s="2" t="s">
        <v>134</v>
      </c>
      <c r="E416" s="2" t="s">
        <v>519</v>
      </c>
      <c r="F416" s="2" t="s">
        <v>636</v>
      </c>
      <c r="G416" s="2" t="s">
        <v>637</v>
      </c>
      <c r="H416" s="2"/>
      <c r="I416" s="3">
        <v>47</v>
      </c>
      <c r="J416" s="4">
        <v>150</v>
      </c>
      <c r="Q416" s="5">
        <v>1</v>
      </c>
      <c r="S416" s="5">
        <v>1</v>
      </c>
      <c r="U416" s="5">
        <v>1</v>
      </c>
      <c r="W416" s="5">
        <v>1</v>
      </c>
      <c r="Y416" s="5">
        <v>1</v>
      </c>
      <c r="AF416" s="7">
        <f t="shared" si="6"/>
        <v>5</v>
      </c>
    </row>
    <row r="417" spans="1:32" ht="15" customHeight="1" x14ac:dyDescent="0.25">
      <c r="A417" t="str">
        <f>IFERROR(_xlfn.XLOOKUP(--F417,[1]imagenes!$D:$D,[1]imagenes!$A:$A),"")</f>
        <v/>
      </c>
      <c r="B417" s="2" t="s">
        <v>951</v>
      </c>
      <c r="C417" s="2"/>
      <c r="D417" s="2" t="s">
        <v>134</v>
      </c>
      <c r="E417" s="2" t="s">
        <v>367</v>
      </c>
      <c r="F417" s="2" t="s">
        <v>892</v>
      </c>
      <c r="G417" s="2" t="s">
        <v>893</v>
      </c>
      <c r="H417" s="2"/>
      <c r="I417" s="3">
        <v>34.5</v>
      </c>
      <c r="J417" s="4">
        <v>130</v>
      </c>
      <c r="Q417" s="5">
        <v>1</v>
      </c>
      <c r="R417" s="5">
        <v>1</v>
      </c>
      <c r="T417" s="5">
        <v>1</v>
      </c>
      <c r="U417" s="5">
        <v>1</v>
      </c>
      <c r="AF417" s="7">
        <f t="shared" si="6"/>
        <v>4</v>
      </c>
    </row>
    <row r="418" spans="1:32" ht="15" customHeight="1" x14ac:dyDescent="0.25">
      <c r="A418" t="str">
        <f>IFERROR(_xlfn.XLOOKUP(--F418,[1]imagenes!$D:$D,[1]imagenes!$A:$A),"")</f>
        <v/>
      </c>
      <c r="B418" s="2" t="s">
        <v>951</v>
      </c>
      <c r="C418" s="2"/>
      <c r="D418" s="2" t="s">
        <v>134</v>
      </c>
      <c r="E418" s="2" t="s">
        <v>367</v>
      </c>
      <c r="F418" s="2" t="s">
        <v>889</v>
      </c>
      <c r="G418" s="2" t="s">
        <v>890</v>
      </c>
      <c r="H418" s="2"/>
      <c r="I418" s="3">
        <v>34.5</v>
      </c>
      <c r="J418" s="4">
        <v>130</v>
      </c>
      <c r="S418" s="5">
        <v>1</v>
      </c>
      <c r="AF418" s="7">
        <f t="shared" si="6"/>
        <v>1</v>
      </c>
    </row>
    <row r="419" spans="1:32" ht="15" customHeight="1" x14ac:dyDescent="0.25">
      <c r="A419" t="str">
        <f>IFERROR(_xlfn.XLOOKUP(--F419,[1]imagenes!$D:$D,[1]imagenes!$A:$A),"")</f>
        <v/>
      </c>
      <c r="B419" s="2" t="s">
        <v>951</v>
      </c>
      <c r="C419" s="2" t="s">
        <v>332</v>
      </c>
      <c r="D419" s="2" t="s">
        <v>134</v>
      </c>
      <c r="E419" s="2" t="s">
        <v>397</v>
      </c>
      <c r="F419" s="2" t="s">
        <v>401</v>
      </c>
      <c r="G419" s="2" t="s">
        <v>402</v>
      </c>
      <c r="H419" s="2"/>
      <c r="I419" s="3">
        <v>34.5</v>
      </c>
      <c r="J419" s="4">
        <v>130</v>
      </c>
      <c r="Q419" s="5">
        <v>1</v>
      </c>
      <c r="R419" s="5">
        <v>1</v>
      </c>
      <c r="S419" s="5">
        <v>1</v>
      </c>
      <c r="U419" s="5">
        <v>1</v>
      </c>
      <c r="AF419" s="7">
        <f t="shared" si="6"/>
        <v>4</v>
      </c>
    </row>
    <row r="420" spans="1:32" ht="15" customHeight="1" x14ac:dyDescent="0.25">
      <c r="A420" t="str">
        <f>IFERROR(_xlfn.XLOOKUP(--F420,[1]imagenes!$D:$D,[1]imagenes!$A:$A),"")</f>
        <v/>
      </c>
      <c r="B420" s="2" t="s">
        <v>951</v>
      </c>
      <c r="C420" s="2" t="s">
        <v>502</v>
      </c>
      <c r="D420" s="2" t="s">
        <v>134</v>
      </c>
      <c r="E420" s="2" t="s">
        <v>608</v>
      </c>
      <c r="F420" s="2" t="s">
        <v>678</v>
      </c>
      <c r="G420" s="2" t="s">
        <v>679</v>
      </c>
      <c r="H420" s="2"/>
      <c r="I420" s="3">
        <v>54</v>
      </c>
      <c r="J420" s="4">
        <v>180</v>
      </c>
      <c r="Q420" s="5">
        <v>1</v>
      </c>
      <c r="R420" s="5">
        <v>1</v>
      </c>
      <c r="S420" s="5">
        <v>1</v>
      </c>
      <c r="T420" s="5">
        <v>1</v>
      </c>
      <c r="U420" s="5">
        <v>1</v>
      </c>
      <c r="AF420" s="7">
        <f t="shared" si="6"/>
        <v>5</v>
      </c>
    </row>
    <row r="421" spans="1:32" ht="15" customHeight="1" x14ac:dyDescent="0.25">
      <c r="A421" t="str">
        <f>IFERROR(_xlfn.XLOOKUP(--F421,[1]imagenes!$D:$D,[1]imagenes!$A:$A),"")</f>
        <v/>
      </c>
      <c r="B421" s="2" t="s">
        <v>951</v>
      </c>
      <c r="C421" s="2"/>
      <c r="D421" s="2" t="s">
        <v>134</v>
      </c>
      <c r="E421" s="2" t="s">
        <v>367</v>
      </c>
      <c r="F421" s="2" t="s">
        <v>886</v>
      </c>
      <c r="G421" s="2" t="s">
        <v>887</v>
      </c>
      <c r="H421" s="2"/>
      <c r="I421" s="3">
        <v>34.5</v>
      </c>
      <c r="J421" s="4">
        <v>130</v>
      </c>
      <c r="Q421" s="5">
        <v>1</v>
      </c>
      <c r="R421" s="5">
        <v>1</v>
      </c>
      <c r="S421" s="5">
        <v>1</v>
      </c>
      <c r="AF421" s="7">
        <f t="shared" si="6"/>
        <v>3</v>
      </c>
    </row>
    <row r="422" spans="1:32" ht="15" customHeight="1" x14ac:dyDescent="0.25">
      <c r="A422" t="str">
        <f>IFERROR(_xlfn.XLOOKUP(--F422,[1]imagenes!$D:$D,[1]imagenes!$A:$A),"")</f>
        <v/>
      </c>
      <c r="B422" s="2" t="s">
        <v>951</v>
      </c>
      <c r="C422" s="2" t="s">
        <v>332</v>
      </c>
      <c r="D422" s="2" t="s">
        <v>34</v>
      </c>
      <c r="E422" s="2" t="s">
        <v>337</v>
      </c>
      <c r="F422" s="2" t="s">
        <v>348</v>
      </c>
      <c r="G422" s="2" t="s">
        <v>349</v>
      </c>
      <c r="H422" s="2"/>
      <c r="I422" s="3">
        <v>33.5</v>
      </c>
      <c r="J422" s="4">
        <v>120</v>
      </c>
      <c r="Y422" s="5">
        <v>1</v>
      </c>
      <c r="AF422" s="7">
        <f t="shared" si="6"/>
        <v>1</v>
      </c>
    </row>
    <row r="423" spans="1:32" ht="15" customHeight="1" x14ac:dyDescent="0.25">
      <c r="A423" t="str">
        <f>IFERROR(_xlfn.XLOOKUP(--F423,[1]imagenes!$D:$D,[1]imagenes!$A:$A),"")</f>
        <v/>
      </c>
      <c r="B423" s="2" t="s">
        <v>951</v>
      </c>
      <c r="C423" s="2"/>
      <c r="D423" s="2" t="s">
        <v>34</v>
      </c>
      <c r="E423" s="2" t="s">
        <v>367</v>
      </c>
      <c r="F423" s="2" t="s">
        <v>871</v>
      </c>
      <c r="G423" s="2" t="s">
        <v>872</v>
      </c>
      <c r="H423" s="2"/>
      <c r="I423" s="3">
        <v>34.5</v>
      </c>
      <c r="J423" s="4">
        <v>130</v>
      </c>
      <c r="U423" s="5">
        <v>1</v>
      </c>
      <c r="V423" s="5">
        <v>1</v>
      </c>
      <c r="AF423" s="7">
        <f t="shared" si="6"/>
        <v>2</v>
      </c>
    </row>
    <row r="424" spans="1:32" ht="15" customHeight="1" x14ac:dyDescent="0.25">
      <c r="A424" t="str">
        <f>IFERROR(_xlfn.XLOOKUP(--F424,[1]imagenes!$D:$D,[1]imagenes!$A:$A),"")</f>
        <v/>
      </c>
      <c r="B424" s="2" t="s">
        <v>951</v>
      </c>
      <c r="C424" s="2"/>
      <c r="D424" s="2" t="s">
        <v>134</v>
      </c>
      <c r="E424" s="2" t="s">
        <v>73</v>
      </c>
      <c r="F424" s="2" t="s">
        <v>868</v>
      </c>
      <c r="G424" s="2" t="s">
        <v>869</v>
      </c>
      <c r="H424" s="2"/>
      <c r="I424" s="3">
        <v>48</v>
      </c>
      <c r="J424" s="4">
        <v>150</v>
      </c>
      <c r="Q424" s="5">
        <v>1</v>
      </c>
      <c r="S424" s="5">
        <v>1</v>
      </c>
      <c r="T424" s="5">
        <v>1</v>
      </c>
      <c r="U424" s="5">
        <v>1</v>
      </c>
      <c r="AF424" s="7">
        <f t="shared" si="6"/>
        <v>4</v>
      </c>
    </row>
    <row r="425" spans="1:32" ht="15" customHeight="1" x14ac:dyDescent="0.25">
      <c r="A425" t="str">
        <f>IFERROR(_xlfn.XLOOKUP(--F425,[1]imagenes!$D:$D,[1]imagenes!$A:$A),"")</f>
        <v/>
      </c>
      <c r="B425" s="2" t="s">
        <v>951</v>
      </c>
      <c r="C425" s="2" t="s">
        <v>332</v>
      </c>
      <c r="D425" s="2" t="s">
        <v>34</v>
      </c>
      <c r="E425" s="2" t="s">
        <v>367</v>
      </c>
      <c r="F425" s="2" t="s">
        <v>378</v>
      </c>
      <c r="G425" s="2" t="s">
        <v>379</v>
      </c>
      <c r="H425" s="2"/>
      <c r="I425" s="3">
        <v>34.5</v>
      </c>
      <c r="J425" s="4">
        <v>130</v>
      </c>
      <c r="U425" s="5">
        <v>1</v>
      </c>
      <c r="V425" s="5">
        <v>1</v>
      </c>
      <c r="AF425" s="7">
        <f t="shared" si="6"/>
        <v>2</v>
      </c>
    </row>
    <row r="426" spans="1:32" ht="15" customHeight="1" x14ac:dyDescent="0.25">
      <c r="G426" s="8" t="s">
        <v>992</v>
      </c>
      <c r="AF426" s="9">
        <f>SUM(AF2:AF425)</f>
        <v>114580</v>
      </c>
    </row>
    <row r="428" spans="1:32" ht="15" customHeight="1" x14ac:dyDescent="0.25">
      <c r="B428" s="10" t="s">
        <v>993</v>
      </c>
    </row>
  </sheetData>
  <autoFilter ref="B1:AF426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MONTOYA</dc:creator>
  <cp:lastModifiedBy>SEBASTIAN MONTOYA</cp:lastModifiedBy>
  <dcterms:created xsi:type="dcterms:W3CDTF">2026-08-08T19:41:51Z</dcterms:created>
  <dcterms:modified xsi:type="dcterms:W3CDTF">2026-08-08T19:42:45Z</dcterms:modified>
</cp:coreProperties>
</file>